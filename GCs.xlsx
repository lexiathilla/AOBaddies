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ur\Downloads\"/>
    </mc:Choice>
  </mc:AlternateContent>
  <xr:revisionPtr revIDLastSave="0" documentId="13_ncr:1_{D1D0FEC2-8D4D-4328-B19E-4FDA916DFD2E}" xr6:coauthVersionLast="47" xr6:coauthVersionMax="47" xr10:uidLastSave="{00000000-0000-0000-0000-000000000000}"/>
  <bookViews>
    <workbookView xWindow="31815" yWindow="2940" windowWidth="21600" windowHeight="10920" activeTab="2" xr2:uid="{8EFD0542-B832-47AD-A0F7-47D90D0B881B}"/>
  </bookViews>
  <sheets>
    <sheet name="Sheet1" sheetId="1" r:id="rId1"/>
    <sheet name="Cleaned" sheetId="2" r:id="rId2"/>
    <sheet name="Groups" sheetId="3" r:id="rId3"/>
    <sheet name="SVSH" sheetId="9" r:id="rId4"/>
    <sheet name="SVSH-test" sheetId="4" r:id="rId5"/>
    <sheet name="Sheet2" sheetId="6" r:id="rId6"/>
    <sheet name="maxgroups" sheetId="7" r:id="rId7"/>
    <sheet name="CpGC" sheetId="5" r:id="rId8"/>
    <sheet name="Chec king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8" l="1"/>
  <c r="C6" i="8" s="1"/>
  <c r="D5" i="8"/>
  <c r="E5" i="8"/>
  <c r="F5" i="8"/>
  <c r="G5" i="8"/>
  <c r="G6" i="8" s="1"/>
  <c r="B5" i="8"/>
  <c r="B6" i="8" s="1"/>
  <c r="H6" i="5"/>
  <c r="F2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29" i="5"/>
  <c r="G29" i="5"/>
  <c r="F29" i="5"/>
  <c r="E29" i="5"/>
  <c r="H28" i="5"/>
  <c r="G28" i="5"/>
  <c r="F28" i="5"/>
  <c r="E28" i="5"/>
  <c r="H27" i="5"/>
  <c r="G27" i="5"/>
  <c r="F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F20" i="5"/>
  <c r="G20" i="5"/>
  <c r="H19" i="5"/>
  <c r="G19" i="5"/>
  <c r="F19" i="5"/>
  <c r="E19" i="5"/>
  <c r="H18" i="5"/>
  <c r="G18" i="5"/>
  <c r="F18" i="5"/>
  <c r="E18" i="5"/>
  <c r="H17" i="5"/>
  <c r="G17" i="5"/>
  <c r="F17" i="5"/>
  <c r="E17" i="5"/>
  <c r="H16" i="5"/>
  <c r="G16" i="5"/>
  <c r="F16" i="5"/>
  <c r="E16" i="5"/>
  <c r="H15" i="5"/>
  <c r="G15" i="5"/>
  <c r="F15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H9" i="5"/>
  <c r="G9" i="5"/>
  <c r="F9" i="5"/>
  <c r="E9" i="5"/>
  <c r="H8" i="5"/>
  <c r="G8" i="5"/>
  <c r="F8" i="5"/>
  <c r="E8" i="5"/>
  <c r="H7" i="5"/>
  <c r="G7" i="5"/>
  <c r="F7" i="5"/>
  <c r="G6" i="5"/>
  <c r="F6" i="5"/>
  <c r="E6" i="5"/>
  <c r="H5" i="5"/>
  <c r="G5" i="5"/>
  <c r="F5" i="5"/>
  <c r="E5" i="5"/>
  <c r="H4" i="5"/>
  <c r="G4" i="5"/>
  <c r="F4" i="5"/>
  <c r="E4" i="5"/>
  <c r="H3" i="5"/>
  <c r="G3" i="5"/>
  <c r="F3" i="5"/>
  <c r="E3" i="5"/>
  <c r="H2" i="5"/>
  <c r="G2" i="5"/>
  <c r="E2" i="5"/>
  <c r="B210" i="1"/>
  <c r="E7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tc={32DCF347-E24D-45C0-84E5-7CE24F96F087}</author>
  </authors>
  <commentList>
    <comment ref="B1" authorId="0" shapeId="0" xr:uid="{32DCF347-E24D-45C0-84E5-7CE24F96F087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need to edit/clean up this column for proper vscode read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tc={F0CFB8D0-18C7-469B-B718-D86328B40F98}</author>
  </authors>
  <commentList>
    <comment ref="D19" authorId="0" shapeId="0" xr:uid="{F0CFB8D0-18C7-469B-B718-D86328B40F9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bond twice w aromatic and once with non aromatic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tc={AD4A4445-F2DF-4F76-ACA1-BA0601A5FF57}</author>
  </authors>
  <commentList>
    <comment ref="D28" authorId="0" shapeId="0" xr:uid="{AD4A4445-F2DF-4F76-ACA1-BA0601A5FF57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bond twice w aromatic and once with non aromatic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<sst xmlns="http://schemas.openxmlformats.org/spreadsheetml/2006/main" count="1086" uniqueCount="338">
  <si>
    <t>Group</t>
  </si>
  <si>
    <r>
      <t>T</t>
    </r>
    <r>
      <rPr>
        <i/>
        <vertAlign val="subscript"/>
        <sz val="8"/>
        <color theme="1"/>
        <rFont val="Cambria"/>
        <family val="1"/>
      </rPr>
      <t>b1i</t>
    </r>
  </si>
  <si>
    <r>
      <t>T</t>
    </r>
    <r>
      <rPr>
        <i/>
        <vertAlign val="subscript"/>
        <sz val="8"/>
        <color theme="1"/>
        <rFont val="Cambria"/>
        <family val="1"/>
      </rPr>
      <t>m1i</t>
    </r>
  </si>
  <si>
    <r>
      <t xml:space="preserve">     δ</t>
    </r>
    <r>
      <rPr>
        <i/>
        <vertAlign val="subscript"/>
        <sz val="8"/>
        <color theme="1"/>
        <rFont val="Cambria"/>
        <family val="1"/>
      </rPr>
      <t>D1i</t>
    </r>
  </si>
  <si>
    <r>
      <t xml:space="preserve">      δ</t>
    </r>
    <r>
      <rPr>
        <i/>
        <vertAlign val="subscript"/>
        <sz val="8"/>
        <color theme="1"/>
        <rFont val="Cambria"/>
        <family val="1"/>
      </rPr>
      <t>P1i</t>
    </r>
  </si>
  <si>
    <r>
      <t xml:space="preserve">      δ</t>
    </r>
    <r>
      <rPr>
        <i/>
        <vertAlign val="subscript"/>
        <sz val="8"/>
        <color theme="1"/>
        <rFont val="Cambria"/>
        <family val="1"/>
      </rPr>
      <t>H1i</t>
    </r>
  </si>
  <si>
    <r>
      <t xml:space="preserve">      V</t>
    </r>
    <r>
      <rPr>
        <i/>
        <vertAlign val="subscript"/>
        <sz val="8"/>
        <color theme="1"/>
        <rFont val="Cambria"/>
        <family val="1"/>
      </rPr>
      <t>m1i</t>
    </r>
  </si>
  <si>
    <r>
      <t>CH</t>
    </r>
    <r>
      <rPr>
        <vertAlign val="subscript"/>
        <sz val="8"/>
        <color rgb="FF000000"/>
        <rFont val="Cambria"/>
        <family val="1"/>
      </rPr>
      <t>3</t>
    </r>
  </si>
  <si>
    <r>
      <t>CH</t>
    </r>
    <r>
      <rPr>
        <vertAlign val="subscript"/>
        <sz val="8"/>
        <color rgb="FF000000"/>
        <rFont val="Cambria"/>
        <family val="1"/>
      </rPr>
      <t>2</t>
    </r>
  </si>
  <si>
    <t>CH</t>
  </si>
  <si>
    <t>C</t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</si>
  <si>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=CH</t>
    </r>
  </si>
  <si>
    <t>CH=CH</t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</si>
  <si>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=C</t>
    </r>
  </si>
  <si>
    <t>CH=C</t>
  </si>
  <si>
    <t>C=C</t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</si>
  <si>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=C=CH</t>
    </r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</si>
  <si>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=C=C</t>
    </r>
  </si>
  <si>
    <t>C=C=C</t>
  </si>
  <si>
    <t>****</t>
  </si>
  <si>
    <t>CH≡C</t>
  </si>
  <si>
    <t>C≡C</t>
  </si>
  <si>
    <t>aCH</t>
  </si>
  <si>
    <t>aC fused with aromatic ring</t>
  </si>
  <si>
    <t>aC fused with non-aromatic ring</t>
  </si>
  <si>
    <t>aC except as above</t>
  </si>
  <si>
    <t>aN in aromatic ring</t>
  </si>
  <si>
    <r>
      <t>aC-CH</t>
    </r>
    <r>
      <rPr>
        <vertAlign val="subscript"/>
        <sz val="8"/>
        <color rgb="FF000000"/>
        <rFont val="Cambria"/>
        <family val="1"/>
      </rPr>
      <t>3</t>
    </r>
  </si>
  <si>
    <r>
      <t>aC-CH</t>
    </r>
    <r>
      <rPr>
        <vertAlign val="subscript"/>
        <sz val="8"/>
        <color rgb="FF000000"/>
        <rFont val="Cambria"/>
        <family val="1"/>
      </rPr>
      <t>2</t>
    </r>
  </si>
  <si>
    <t>aC-CH</t>
  </si>
  <si>
    <t>aC-C</t>
  </si>
  <si>
    <r>
      <t>aC-CH=CH</t>
    </r>
    <r>
      <rPr>
        <vertAlign val="subscript"/>
        <sz val="8"/>
        <color rgb="FF000000"/>
        <rFont val="Cambria"/>
        <family val="1"/>
      </rPr>
      <t>2</t>
    </r>
  </si>
  <si>
    <t>aC-CH=CH</t>
  </si>
  <si>
    <r>
      <t>aC-C=CH</t>
    </r>
    <r>
      <rPr>
        <vertAlign val="subscript"/>
        <sz val="8"/>
        <color rgb="FF000000"/>
        <rFont val="Cambria"/>
        <family val="1"/>
      </rPr>
      <t>2</t>
    </r>
  </si>
  <si>
    <t>aC-C≡CH</t>
  </si>
  <si>
    <t>aC-C≡C</t>
  </si>
  <si>
    <t>OH</t>
  </si>
  <si>
    <t>aC-OH</t>
  </si>
  <si>
    <t>COOH</t>
  </si>
  <si>
    <t>aC-COOH</t>
  </si>
  <si>
    <r>
      <t>CH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>CO</t>
    </r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</si>
  <si>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CO</t>
    </r>
  </si>
  <si>
    <t>CHCO</t>
  </si>
  <si>
    <t>CCO</t>
  </si>
  <si>
    <t>aC-CO</t>
  </si>
  <si>
    <t>CHO</t>
  </si>
  <si>
    <t>aC-CHO</t>
  </si>
  <si>
    <r>
      <t>CH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>COO</t>
    </r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</si>
  <si>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COO</t>
    </r>
  </si>
  <si>
    <t>CHCOO</t>
  </si>
  <si>
    <t>CCOO</t>
  </si>
  <si>
    <t>HCOO</t>
  </si>
  <si>
    <t>aC-COO</t>
  </si>
  <si>
    <t>aC-OOCH</t>
  </si>
  <si>
    <t>aC-OOC</t>
  </si>
  <si>
    <t>COO except as above</t>
  </si>
  <si>
    <r>
      <t>CH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>O</t>
    </r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</si>
  <si>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O</t>
    </r>
  </si>
  <si>
    <t>CH-O</t>
  </si>
  <si>
    <t>C-O</t>
  </si>
  <si>
    <t>aC-O</t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</si>
  <si>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NH</t>
    </r>
    <r>
      <rPr>
        <vertAlign val="subscript"/>
        <sz val="8"/>
        <color rgb="FF000000"/>
        <rFont val="Cambria"/>
        <family val="1"/>
      </rPr>
      <t>2</t>
    </r>
  </si>
  <si>
    <r>
      <t>CHNH</t>
    </r>
    <r>
      <rPr>
        <vertAlign val="subscript"/>
        <sz val="8"/>
        <color rgb="FF000000"/>
        <rFont val="Cambria"/>
        <family val="1"/>
      </rPr>
      <t>2</t>
    </r>
  </si>
  <si>
    <r>
      <t>CNH</t>
    </r>
    <r>
      <rPr>
        <vertAlign val="subscript"/>
        <sz val="8"/>
        <color rgb="FF000000"/>
        <rFont val="Cambria"/>
        <family val="1"/>
      </rPr>
      <t>2</t>
    </r>
  </si>
  <si>
    <r>
      <t>CH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>NH</t>
    </r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</si>
  <si>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NH</t>
    </r>
  </si>
  <si>
    <t>CHNH</t>
  </si>
  <si>
    <r>
      <t>CH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>N</t>
    </r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</si>
  <si>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N</t>
    </r>
  </si>
  <si>
    <r>
      <t>aC-NH</t>
    </r>
    <r>
      <rPr>
        <vertAlign val="subscript"/>
        <sz val="8"/>
        <color rgb="FF000000"/>
        <rFont val="Cambria"/>
        <family val="1"/>
      </rPr>
      <t>2</t>
    </r>
  </si>
  <si>
    <t>aC-NH</t>
  </si>
  <si>
    <t>aC-N</t>
  </si>
  <si>
    <r>
      <t>NH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 xml:space="preserve"> except as above</t>
    </r>
  </si>
  <si>
    <t>CH=N</t>
  </si>
  <si>
    <t>C=N</t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</si>
  <si>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CN</t>
    </r>
  </si>
  <si>
    <t>CHCN</t>
  </si>
  <si>
    <t>CCN</t>
  </si>
  <si>
    <t>aC-CN</t>
  </si>
  <si>
    <t>CN except as above</t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</si>
  <si>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NCO</t>
    </r>
  </si>
  <si>
    <t>CHNCO</t>
  </si>
  <si>
    <t>CNCO</t>
  </si>
  <si>
    <t>aC-NCO</t>
  </si>
  <si>
    <r>
      <t>CH2NO</t>
    </r>
    <r>
      <rPr>
        <vertAlign val="subscript"/>
        <sz val="8"/>
        <color rgb="FF000000"/>
        <rFont val="Cambria"/>
        <family val="1"/>
      </rPr>
      <t>2</t>
    </r>
  </si>
  <si>
    <r>
      <t>CHNO</t>
    </r>
    <r>
      <rPr>
        <vertAlign val="subscript"/>
        <sz val="8"/>
        <color rgb="FF000000"/>
        <rFont val="Cambria"/>
        <family val="1"/>
      </rPr>
      <t>2</t>
    </r>
  </si>
  <si>
    <r>
      <t>CNO</t>
    </r>
    <r>
      <rPr>
        <vertAlign val="subscript"/>
        <sz val="8"/>
        <color rgb="FF000000"/>
        <rFont val="Cambria"/>
        <family val="1"/>
      </rPr>
      <t>2</t>
    </r>
  </si>
  <si>
    <r>
      <t>aC-NO</t>
    </r>
    <r>
      <rPr>
        <vertAlign val="subscript"/>
        <sz val="8"/>
        <color rgb="FF000000"/>
        <rFont val="Cambria"/>
        <family val="1"/>
      </rPr>
      <t>2</t>
    </r>
  </si>
  <si>
    <r>
      <t>NO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 xml:space="preserve"> except as above</t>
    </r>
  </si>
  <si>
    <t>ONO</t>
  </si>
  <si>
    <r>
      <t>ONO</t>
    </r>
    <r>
      <rPr>
        <vertAlign val="subscript"/>
        <sz val="8"/>
        <color rgb="FF000000"/>
        <rFont val="Cambria"/>
        <family val="1"/>
      </rPr>
      <t>2</t>
    </r>
  </si>
  <si>
    <r>
      <t>HCON(CH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)</t>
    </r>
    <r>
      <rPr>
        <vertAlign val="subscript"/>
        <sz val="8"/>
        <color rgb="FF000000"/>
        <rFont val="Cambria"/>
        <family val="1"/>
      </rPr>
      <t>2</t>
    </r>
  </si>
  <si>
    <r>
      <t>HCONHCH</t>
    </r>
    <r>
      <rPr>
        <vertAlign val="subscript"/>
        <sz val="8"/>
        <color rgb="FF000000"/>
        <rFont val="Cambria"/>
        <family val="1"/>
      </rPr>
      <t>2</t>
    </r>
  </si>
  <si>
    <r>
      <t>CONH</t>
    </r>
    <r>
      <rPr>
        <vertAlign val="subscript"/>
        <sz val="8"/>
        <color rgb="FF000000"/>
        <rFont val="Cambria"/>
        <family val="1"/>
      </rPr>
      <t>2</t>
    </r>
  </si>
  <si>
    <r>
      <t>CONHCH</t>
    </r>
    <r>
      <rPr>
        <vertAlign val="subscript"/>
        <sz val="8"/>
        <color rgb="FF000000"/>
        <rFont val="Cambria"/>
        <family val="1"/>
      </rPr>
      <t>3</t>
    </r>
  </si>
  <si>
    <r>
      <t>CONHCH</t>
    </r>
    <r>
      <rPr>
        <vertAlign val="subscript"/>
        <sz val="8"/>
        <color rgb="FF000000"/>
        <rFont val="Cambria"/>
        <family val="1"/>
      </rPr>
      <t>2</t>
    </r>
  </si>
  <si>
    <r>
      <t>CON(CH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>)</t>
    </r>
    <r>
      <rPr>
        <vertAlign val="subscript"/>
        <sz val="8"/>
        <color rgb="FF000000"/>
        <rFont val="Cambria"/>
        <family val="1"/>
      </rPr>
      <t>2</t>
    </r>
  </si>
  <si>
    <r>
      <t>CONCH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>CH</t>
    </r>
    <r>
      <rPr>
        <vertAlign val="subscript"/>
        <sz val="8"/>
        <color rgb="FF000000"/>
        <rFont val="Cambria"/>
        <family val="1"/>
      </rPr>
      <t>2</t>
    </r>
  </si>
  <si>
    <r>
      <t>CON(CH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)</t>
    </r>
    <r>
      <rPr>
        <vertAlign val="subscript"/>
        <sz val="8"/>
        <color rgb="FF000000"/>
        <rFont val="Cambria"/>
        <family val="1"/>
      </rPr>
      <t>2</t>
    </r>
  </si>
  <si>
    <t>CONHCO</t>
  </si>
  <si>
    <t>CONCO</t>
  </si>
  <si>
    <r>
      <t>aC-CONH</t>
    </r>
    <r>
      <rPr>
        <vertAlign val="subscript"/>
        <sz val="8"/>
        <color rgb="FF000000"/>
        <rFont val="Cambria"/>
        <family val="1"/>
      </rPr>
      <t>2</t>
    </r>
  </si>
  <si>
    <t>aC-NH(CO)H</t>
  </si>
  <si>
    <t>aC-N(CO)H</t>
  </si>
  <si>
    <t>aC-CONH</t>
  </si>
  <si>
    <t>aC-NHCO</t>
  </si>
  <si>
    <t>aC-(N)CO</t>
  </si>
  <si>
    <t>NHCONH</t>
  </si>
  <si>
    <r>
      <t>NH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CONH</t>
    </r>
  </si>
  <si>
    <r>
      <t>NH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CON</t>
    </r>
  </si>
  <si>
    <t>NHCON</t>
  </si>
  <si>
    <t>NCON</t>
  </si>
  <si>
    <r>
      <t>aC-NHCONH</t>
    </r>
    <r>
      <rPr>
        <vertAlign val="subscript"/>
        <sz val="8"/>
        <color rgb="FF000000"/>
        <rFont val="Cambria"/>
        <family val="1"/>
      </rPr>
      <t>2</t>
    </r>
  </si>
  <si>
    <t>aC-NHCONH</t>
  </si>
  <si>
    <t>NHCO except as above</t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</si>
  <si>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Cl</t>
    </r>
  </si>
  <si>
    <t>CHCl</t>
  </si>
  <si>
    <t>CCl</t>
  </si>
  <si>
    <r>
      <t>CHCl</t>
    </r>
    <r>
      <rPr>
        <vertAlign val="subscript"/>
        <sz val="8"/>
        <color rgb="FF000000"/>
        <rFont val="Cambria"/>
        <family val="1"/>
      </rPr>
      <t>2</t>
    </r>
  </si>
  <si>
    <r>
      <t>CCl</t>
    </r>
    <r>
      <rPr>
        <vertAlign val="subscript"/>
        <sz val="8"/>
        <color rgb="FF000000"/>
        <rFont val="Cambria"/>
        <family val="1"/>
      </rPr>
      <t>2</t>
    </r>
  </si>
  <si>
    <r>
      <t>CCl</t>
    </r>
    <r>
      <rPr>
        <vertAlign val="subscript"/>
        <sz val="8"/>
        <color rgb="FF000000"/>
        <rFont val="Cambria"/>
        <family val="1"/>
      </rPr>
      <t>3</t>
    </r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</si>
  <si>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F</t>
    </r>
  </si>
  <si>
    <t>CHF</t>
  </si>
  <si>
    <t>CF</t>
  </si>
  <si>
    <r>
      <t>CHF</t>
    </r>
    <r>
      <rPr>
        <vertAlign val="subscript"/>
        <sz val="8"/>
        <color rgb="FF000000"/>
        <rFont val="Cambria"/>
        <family val="1"/>
      </rPr>
      <t>2</t>
    </r>
  </si>
  <si>
    <r>
      <t>CF</t>
    </r>
    <r>
      <rPr>
        <vertAlign val="subscript"/>
        <sz val="8"/>
        <color rgb="FF000000"/>
        <rFont val="Cambria"/>
        <family val="1"/>
      </rPr>
      <t>2</t>
    </r>
  </si>
  <si>
    <r>
      <t>CF</t>
    </r>
    <r>
      <rPr>
        <vertAlign val="subscript"/>
        <sz val="8"/>
        <color rgb="FF000000"/>
        <rFont val="Cambria"/>
        <family val="1"/>
      </rPr>
      <t>3</t>
    </r>
  </si>
  <si>
    <r>
      <t>CCl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F</t>
    </r>
  </si>
  <si>
    <t>HCClF</t>
  </si>
  <si>
    <r>
      <t>CClF</t>
    </r>
    <r>
      <rPr>
        <vertAlign val="subscript"/>
        <sz val="8"/>
        <color rgb="FF000000"/>
        <rFont val="Cambria"/>
        <family val="1"/>
      </rPr>
      <t>2</t>
    </r>
  </si>
  <si>
    <t>aC-Cl</t>
  </si>
  <si>
    <t>aC-F</t>
  </si>
  <si>
    <t>aC-I</t>
  </si>
  <si>
    <t>aC-Br</t>
  </si>
  <si>
    <t>-I except as above</t>
  </si>
  <si>
    <t>-Br except as above</t>
  </si>
  <si>
    <t>-F except as above</t>
  </si>
  <si>
    <t>-Cl except as above</t>
  </si>
  <si>
    <t>CHNOH</t>
  </si>
  <si>
    <t>CNOH</t>
  </si>
  <si>
    <t>aC-CHNOH</t>
  </si>
  <si>
    <r>
      <t>OCH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OH</t>
    </r>
  </si>
  <si>
    <r>
      <t>OCHCH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OH</t>
    </r>
  </si>
  <si>
    <r>
      <t>OCH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CHOH</t>
    </r>
  </si>
  <si>
    <t>-O-OH</t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</si>
  <si>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SH</t>
    </r>
  </si>
  <si>
    <t>CHSH</t>
  </si>
  <si>
    <t>CSH</t>
  </si>
  <si>
    <t>aC-SH</t>
  </si>
  <si>
    <t>-SH except as above</t>
  </si>
  <si>
    <r>
      <t>CH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>S</t>
    </r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</si>
  <si>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S</t>
    </r>
  </si>
  <si>
    <t>CHS</t>
  </si>
  <si>
    <t>CS</t>
  </si>
  <si>
    <t>aC-S-</t>
  </si>
  <si>
    <t>SO</t>
  </si>
  <si>
    <r>
      <t>SO</t>
    </r>
    <r>
      <rPr>
        <vertAlign val="subscript"/>
        <sz val="8"/>
        <color rgb="FF000000"/>
        <rFont val="Cambria"/>
        <family val="1"/>
      </rPr>
      <t xml:space="preserve">3 </t>
    </r>
    <r>
      <rPr>
        <sz val="8"/>
        <color rgb="FF000000"/>
        <rFont val="Cambria"/>
        <family val="1"/>
      </rPr>
      <t>(sulfite)</t>
    </r>
  </si>
  <si>
    <r>
      <t>SO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 xml:space="preserve"> (Sulfonate)</t>
    </r>
  </si>
  <si>
    <r>
      <t>SO</t>
    </r>
    <r>
      <rPr>
        <vertAlign val="subscript"/>
        <sz val="8"/>
        <color rgb="FF000000"/>
        <rFont val="Cambria"/>
        <family val="1"/>
      </rPr>
      <t xml:space="preserve">4 </t>
    </r>
    <r>
      <rPr>
        <sz val="8"/>
        <color rgb="FF000000"/>
        <rFont val="Cambria"/>
        <family val="1"/>
      </rPr>
      <t>(Sulfate)</t>
    </r>
  </si>
  <si>
    <t>aC-SO</t>
  </si>
  <si>
    <r>
      <t>aC-SO</t>
    </r>
    <r>
      <rPr>
        <vertAlign val="subscript"/>
        <sz val="8"/>
        <color rgb="FF000000"/>
        <rFont val="Cambria"/>
        <family val="1"/>
      </rPr>
      <t>2</t>
    </r>
  </si>
  <si>
    <t>PH (phosphine)</t>
  </si>
  <si>
    <t>P (Phospine)</t>
  </si>
  <si>
    <r>
      <t>PO</t>
    </r>
    <r>
      <rPr>
        <vertAlign val="subscript"/>
        <sz val="8"/>
        <color rgb="FF000000"/>
        <rFont val="Cambria"/>
        <family val="1"/>
      </rPr>
      <t xml:space="preserve">3 </t>
    </r>
    <r>
      <rPr>
        <sz val="8"/>
        <color rgb="FF000000"/>
        <rFont val="Cambria"/>
        <family val="1"/>
      </rPr>
      <t>(Phospite)</t>
    </r>
  </si>
  <si>
    <r>
      <t>PHO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 xml:space="preserve"> (Phosponate)</t>
    </r>
  </si>
  <si>
    <r>
      <t>PO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 xml:space="preserve"> (Phosponate)</t>
    </r>
  </si>
  <si>
    <r>
      <t>PHO</t>
    </r>
    <r>
      <rPr>
        <vertAlign val="subscript"/>
        <sz val="8"/>
        <color rgb="FF000000"/>
        <rFont val="Cambria"/>
        <family val="1"/>
      </rPr>
      <t xml:space="preserve">4 </t>
    </r>
    <r>
      <rPr>
        <sz val="8"/>
        <color rgb="FF000000"/>
        <rFont val="Cambria"/>
        <family val="1"/>
      </rPr>
      <t>(Phospate)</t>
    </r>
  </si>
  <si>
    <r>
      <t>PO</t>
    </r>
    <r>
      <rPr>
        <vertAlign val="subscript"/>
        <sz val="8"/>
        <color rgb="FF000000"/>
        <rFont val="Cambria"/>
        <family val="1"/>
      </rPr>
      <t xml:space="preserve">4 </t>
    </r>
    <r>
      <rPr>
        <sz val="8"/>
        <color rgb="FF000000"/>
        <rFont val="Cambria"/>
        <family val="1"/>
      </rPr>
      <t>(Phospate)</t>
    </r>
  </si>
  <si>
    <r>
      <t>aC-PO</t>
    </r>
    <r>
      <rPr>
        <vertAlign val="subscript"/>
        <sz val="8"/>
        <color rgb="FF000000"/>
        <rFont val="Cambria"/>
        <family val="1"/>
      </rPr>
      <t>4</t>
    </r>
  </si>
  <si>
    <t>aC-P</t>
  </si>
  <si>
    <r>
      <t>CO</t>
    </r>
    <r>
      <rPr>
        <vertAlign val="subscript"/>
        <sz val="8"/>
        <color rgb="FF000000"/>
        <rFont val="Cambria"/>
        <family val="1"/>
      </rPr>
      <t xml:space="preserve">3 </t>
    </r>
    <r>
      <rPr>
        <sz val="8"/>
        <color rgb="FF000000"/>
        <rFont val="Cambria"/>
        <family val="1"/>
      </rPr>
      <t>(Carbonate)</t>
    </r>
  </si>
  <si>
    <r>
      <t>C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H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>O</t>
    </r>
  </si>
  <si>
    <r>
      <t>C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O</t>
    </r>
  </si>
  <si>
    <r>
      <t>C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HO</t>
    </r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</si>
  <si>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 xml:space="preserve"> (cyclic)</t>
    </r>
  </si>
  <si>
    <t>CH (cyclic)</t>
  </si>
  <si>
    <t>C (cyclic)</t>
  </si>
  <si>
    <t>CH=CH (cyclic)</t>
  </si>
  <si>
    <t>CH=C (cyclic)</t>
  </si>
  <si>
    <t>C=C (cyclic)</t>
  </si>
  <si>
    <r>
      <t>CH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=C (cyclic)</t>
    </r>
  </si>
  <si>
    <t>NH (cyclic)</t>
  </si>
  <si>
    <t>N (cyclic)</t>
  </si>
  <si>
    <t>CH=N (cyclic)</t>
  </si>
  <si>
    <t>C=N (cyclic)</t>
  </si>
  <si>
    <t>O (cyclic)</t>
  </si>
  <si>
    <t>CO (cyclic)</t>
  </si>
  <si>
    <t>S (cyclic)</t>
  </si>
  <si>
    <r>
      <t>SO</t>
    </r>
    <r>
      <rPr>
        <vertAlign val="subscript"/>
        <sz val="8"/>
        <color rgb="FF000000"/>
        <rFont val="Cambria"/>
        <family val="1"/>
      </rPr>
      <t xml:space="preserve">2 </t>
    </r>
    <r>
      <rPr>
        <sz val="8"/>
        <color rgb="FF000000"/>
        <rFont val="Cambria"/>
        <family val="1"/>
      </rPr>
      <t>(cyclic)</t>
    </r>
  </si>
  <si>
    <t>&gt;NH</t>
  </si>
  <si>
    <t>-O-</t>
  </si>
  <si>
    <t>1.1379</t>
  </si>
  <si>
    <t>-S-</t>
  </si>
  <si>
    <t>1.1954</t>
  </si>
  <si>
    <t>&gt;CO</t>
  </si>
  <si>
    <r>
      <t>PO</t>
    </r>
    <r>
      <rPr>
        <vertAlign val="subscript"/>
        <sz val="8"/>
        <color rgb="FF000000"/>
        <rFont val="Cambria"/>
        <family val="1"/>
      </rPr>
      <t>2</t>
    </r>
  </si>
  <si>
    <t>CH-N</t>
  </si>
  <si>
    <t>SiHO</t>
  </si>
  <si>
    <t>SiO</t>
  </si>
  <si>
    <r>
      <t>SiH</t>
    </r>
    <r>
      <rPr>
        <vertAlign val="subscript"/>
        <sz val="8"/>
        <color rgb="FF000000"/>
        <rFont val="Cambria"/>
        <family val="1"/>
      </rPr>
      <t>2</t>
    </r>
  </si>
  <si>
    <t>SiH</t>
  </si>
  <si>
    <t>Si</t>
  </si>
  <si>
    <r>
      <t>(CH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>)</t>
    </r>
    <r>
      <rPr>
        <vertAlign val="subscript"/>
        <sz val="8"/>
        <color rgb="FF000000"/>
        <rFont val="Cambria"/>
        <family val="1"/>
      </rPr>
      <t>3</t>
    </r>
    <r>
      <rPr>
        <sz val="8"/>
        <color rgb="FF000000"/>
        <rFont val="Cambria"/>
        <family val="1"/>
      </rPr>
      <t>N</t>
    </r>
  </si>
  <si>
    <t>N=N</t>
  </si>
  <si>
    <r>
      <t>C</t>
    </r>
    <r>
      <rPr>
        <vertAlign val="subscript"/>
        <sz val="8"/>
        <color rgb="FF000000"/>
        <rFont val="Cambria"/>
        <family val="1"/>
      </rPr>
      <t>cyclic</t>
    </r>
    <r>
      <rPr>
        <sz val="8"/>
        <color rgb="FF000000"/>
        <rFont val="Cambria"/>
        <family val="1"/>
      </rPr>
      <t>=N-</t>
    </r>
  </si>
  <si>
    <r>
      <t>C</t>
    </r>
    <r>
      <rPr>
        <vertAlign val="subscript"/>
        <sz val="8"/>
        <color rgb="FF000000"/>
        <rFont val="Cambria"/>
        <family val="1"/>
      </rPr>
      <t>cyclic</t>
    </r>
    <r>
      <rPr>
        <sz val="8"/>
        <color rgb="FF000000"/>
        <rFont val="Cambria"/>
        <family val="1"/>
      </rPr>
      <t>=CH-</t>
    </r>
  </si>
  <si>
    <r>
      <t>C</t>
    </r>
    <r>
      <rPr>
        <vertAlign val="subscript"/>
        <sz val="8"/>
        <color rgb="FF000000"/>
        <rFont val="Cambria"/>
        <family val="1"/>
      </rPr>
      <t>cyclic</t>
    </r>
    <r>
      <rPr>
        <sz val="8"/>
        <color rgb="FF000000"/>
        <rFont val="Cambria"/>
        <family val="1"/>
      </rPr>
      <t>=NH</t>
    </r>
  </si>
  <si>
    <t>N=O</t>
  </si>
  <si>
    <r>
      <t>C</t>
    </r>
    <r>
      <rPr>
        <vertAlign val="subscript"/>
        <sz val="8"/>
        <color rgb="FF000000"/>
        <rFont val="Cambria"/>
        <family val="1"/>
      </rPr>
      <t>cyclic</t>
    </r>
    <r>
      <rPr>
        <sz val="8"/>
        <color rgb="FF000000"/>
        <rFont val="Cambria"/>
        <family val="1"/>
      </rPr>
      <t>=C</t>
    </r>
  </si>
  <si>
    <t>P=O</t>
  </si>
  <si>
    <t>C=NH</t>
  </si>
  <si>
    <t>&gt;C=S</t>
  </si>
  <si>
    <t>aC-CON</t>
  </si>
  <si>
    <t>aC=O</t>
  </si>
  <si>
    <t>aN-</t>
  </si>
  <si>
    <t>-K</t>
  </si>
  <si>
    <t>HCONH</t>
  </si>
  <si>
    <t>CHOCH</t>
  </si>
  <si>
    <r>
      <t>C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O</t>
    </r>
  </si>
  <si>
    <r>
      <t>SiH</t>
    </r>
    <r>
      <rPr>
        <vertAlign val="subscript"/>
        <sz val="8"/>
        <color rgb="FF000000"/>
        <rFont val="Cambria"/>
        <family val="1"/>
      </rPr>
      <t>3</t>
    </r>
  </si>
  <si>
    <r>
      <t>SiH</t>
    </r>
    <r>
      <rPr>
        <vertAlign val="subscript"/>
        <sz val="8"/>
        <color rgb="FF000000"/>
        <rFont val="Cambria"/>
        <family val="1"/>
      </rPr>
      <t>2</t>
    </r>
    <r>
      <rPr>
        <sz val="8"/>
        <color rgb="FF000000"/>
        <rFont val="Cambria"/>
        <family val="1"/>
      </rPr>
      <t>O</t>
    </r>
  </si>
  <si>
    <t>CH=C=CH</t>
  </si>
  <si>
    <t>CH=C=C</t>
  </si>
  <si>
    <t>OP(=S)O</t>
  </si>
  <si>
    <t>R</t>
  </si>
  <si>
    <r>
      <t>CF</t>
    </r>
    <r>
      <rPr>
        <vertAlign val="subscript"/>
        <sz val="8"/>
        <color rgb="FF000000"/>
        <rFont val="Cambria"/>
        <family val="1"/>
      </rPr>
      <t>2cyclic</t>
    </r>
  </si>
  <si>
    <r>
      <t>CF</t>
    </r>
    <r>
      <rPr>
        <vertAlign val="subscript"/>
        <sz val="8"/>
        <color rgb="FF000000"/>
        <rFont val="Cambria"/>
        <family val="1"/>
      </rPr>
      <t>cyclic</t>
    </r>
  </si>
  <si>
    <t>Unnamed: 0</t>
  </si>
  <si>
    <t>True count</t>
  </si>
  <si>
    <t>Type of molecule (like aromatic and so on) ?</t>
  </si>
  <si>
    <t>Valency 1</t>
  </si>
  <si>
    <t>Tb1i</t>
  </si>
  <si>
    <t>Tm1i</t>
  </si>
  <si>
    <t xml:space="preserve">     δD1i</t>
  </si>
  <si>
    <t xml:space="preserve">      δP1i</t>
  </si>
  <si>
    <t xml:space="preserve">      δH1i</t>
  </si>
  <si>
    <t xml:space="preserve">      Vm1i</t>
  </si>
  <si>
    <t>CH3</t>
  </si>
  <si>
    <t>general</t>
  </si>
  <si>
    <t>CH2</t>
  </si>
  <si>
    <t>CH2=CH</t>
  </si>
  <si>
    <t>unsaturated</t>
  </si>
  <si>
    <t>CH2=C</t>
  </si>
  <si>
    <t>CH2=C=CH</t>
  </si>
  <si>
    <t>CH2=C=C</t>
  </si>
  <si>
    <t>aromatic</t>
  </si>
  <si>
    <t>cyclic</t>
  </si>
  <si>
    <t>aC-CH3</t>
  </si>
  <si>
    <t>aC-CH2</t>
  </si>
  <si>
    <t>Phosphate del bc data availabilty</t>
  </si>
  <si>
    <t>Sulfur used in mixed solvents</t>
  </si>
  <si>
    <t>aC-CH=CH2</t>
  </si>
  <si>
    <t>Halogens mostly used in MOFs</t>
  </si>
  <si>
    <t>No Cyanide</t>
  </si>
  <si>
    <t>CH3CO</t>
  </si>
  <si>
    <t>CH3COO</t>
  </si>
  <si>
    <t>CH2COO</t>
  </si>
  <si>
    <t>CH3O</t>
  </si>
  <si>
    <t>CH2O</t>
  </si>
  <si>
    <t>CH2NH2</t>
  </si>
  <si>
    <t>CHNH2</t>
  </si>
  <si>
    <t>CH3NH</t>
  </si>
  <si>
    <t>CH2NH</t>
  </si>
  <si>
    <t>CH3N</t>
  </si>
  <si>
    <t>CH2N</t>
  </si>
  <si>
    <t>aC-NH2</t>
  </si>
  <si>
    <t>NH2 except as above</t>
  </si>
  <si>
    <t>CH2NO2</t>
  </si>
  <si>
    <t>CHNO2</t>
  </si>
  <si>
    <t>CNO2</t>
  </si>
  <si>
    <t>aC-NO2</t>
  </si>
  <si>
    <t>NO2 except as above</t>
  </si>
  <si>
    <t>ONO2</t>
  </si>
  <si>
    <t>CONH2</t>
  </si>
  <si>
    <t>CONHCH3</t>
  </si>
  <si>
    <t>CON(CH3)2</t>
  </si>
  <si>
    <t>aC-CONH2</t>
  </si>
  <si>
    <t>possible</t>
  </si>
  <si>
    <t>OCH2CH2OH</t>
  </si>
  <si>
    <t>problematic but ok</t>
  </si>
  <si>
    <t>OCHCH2OH</t>
  </si>
  <si>
    <t>OCH2CHOH</t>
  </si>
  <si>
    <t>CH3S</t>
  </si>
  <si>
    <t>CH2S</t>
  </si>
  <si>
    <t>SO2</t>
  </si>
  <si>
    <t>CO3 (Carbonate)</t>
  </si>
  <si>
    <t>C2H3O</t>
  </si>
  <si>
    <t>C2H2O</t>
  </si>
  <si>
    <t>CH2 (cyclic)</t>
  </si>
  <si>
    <t>CH2=C (cyclic)</t>
  </si>
  <si>
    <t>Ccyclic=C</t>
  </si>
  <si>
    <t>Hukkerikar Group</t>
  </si>
  <si>
    <t>Sahinidis Groups</t>
  </si>
  <si>
    <t>CH3-</t>
  </si>
  <si>
    <t>CH2-</t>
  </si>
  <si>
    <t>&gt;CH-</t>
  </si>
  <si>
    <t>&gt;C&lt;</t>
  </si>
  <si>
    <t>CH2=</t>
  </si>
  <si>
    <t>CH=</t>
  </si>
  <si>
    <t>&gt;C=</t>
  </si>
  <si>
    <t>C==</t>
  </si>
  <si>
    <t>ring-CH2-</t>
  </si>
  <si>
    <t>ring&gt;CH-</t>
  </si>
  <si>
    <t>ring&gt;C&lt;</t>
  </si>
  <si>
    <t>ring=CH-</t>
  </si>
  <si>
    <t>ring=C&lt;</t>
  </si>
  <si>
    <t>Br-</t>
  </si>
  <si>
    <t>alc-OH</t>
  </si>
  <si>
    <t>phe-OH</t>
  </si>
  <si>
    <t>O-</t>
  </si>
  <si>
    <t>ring-O-</t>
  </si>
  <si>
    <t>&gt;C=O</t>
  </si>
  <si>
    <t>ring&gt;C=O</t>
  </si>
  <si>
    <t>O=CH-</t>
  </si>
  <si>
    <t>COO-</t>
  </si>
  <si>
    <t>O=</t>
  </si>
  <si>
    <t>NH2-</t>
  </si>
  <si>
    <t>ring&gt;NH</t>
  </si>
  <si>
    <t>&gt;N-</t>
  </si>
  <si>
    <t>N=</t>
  </si>
  <si>
    <t>ring-N=</t>
  </si>
  <si>
    <t>NH=</t>
  </si>
  <si>
    <t>NO2-</t>
  </si>
  <si>
    <t>ring-S-</t>
  </si>
  <si>
    <t>Tci</t>
  </si>
  <si>
    <t>Pci</t>
  </si>
  <si>
    <t>Tbi</t>
  </si>
  <si>
    <t>A0i</t>
  </si>
  <si>
    <t>B0i</t>
  </si>
  <si>
    <t>C0i</t>
  </si>
  <si>
    <t>D0i</t>
  </si>
  <si>
    <t>O</t>
  </si>
  <si>
    <t>fX</t>
  </si>
  <si>
    <t>Actual properties</t>
  </si>
  <si>
    <t>RED</t>
  </si>
  <si>
    <t>nimax</t>
  </si>
  <si>
    <t>nimin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</si>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</sst>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color theme="1"/>
      <name val="Cambria"/>
      <family val="1"/>
    </font>
    <font>
      <i/>
      <sz val="8"/>
      <color theme="1"/>
      <name val="Cambria"/>
      <family val="1"/>
    </font>
    <font>
      <i/>
      <vertAlign val="subscript"/>
      <sz val="8"/>
      <color theme="1"/>
      <name val="Cambria"/>
      <family val="1"/>
    </font>
    <font>
      <sz val="8"/>
      <color rgb="FF000000"/>
      <name val="Cambria"/>
      <family val="1"/>
    </font>
    <font>
      <vertAlign val="subscript"/>
      <sz val="8"/>
      <color rgb="FF000000"/>
      <name val="Cambria"/>
      <family val="1"/>
    </font>
    <font>
      <b/>
      <sz val="11"/>
      <color theme="0"/>
      <name val="Aptos Narrow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  <font>
      <b/>
      <sz val="11"/>
      <color theme="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0" fillId="2" borderId="0" xfId="0" applyFill="1"/>
    <xf numFmtId="0" fontId="8" fillId="3" borderId="3" xfId="0" applyFont="1" applyFill="1" applyBorder="1" applyAlignment="1">
      <alignment horizontal="center" vertical="top"/>
    </xf>
    <xf numFmtId="0" fontId="6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9" fillId="3" borderId="3" xfId="0" applyFont="1" applyFill="1" applyBorder="1" applyAlignment="1">
      <alignment horizontal="center" vertical="top"/>
    </xf>
    <xf numFmtId="0" fontId="0" fillId="7" borderId="0" xfId="0" applyFill="1"/>
    <xf numFmtId="11" fontId="0" fillId="0" borderId="0" xfId="0" applyNumberFormat="1"/>
    <xf numFmtId="0" fontId="0" fillId="8" borderId="0" xfId="0" applyFill="1"/>
    <xf numFmtId="0" fontId="9" fillId="3" borderId="4" xfId="0" applyFont="1" applyFill="1" applyBorder="1" applyAlignment="1">
      <alignment horizontal="center" vertical="top"/>
    </xf>
    <xf numFmtId="0" fontId="4" fillId="0" borderId="0" xfId="0" applyFont="1" applyAlignment="1">
      <alignment vertical="center" wrapText="1"/>
    </xf>
    <xf numFmtId="0" fontId="9" fillId="3" borderId="5" xfId="0" applyFont="1" applyFill="1" applyBorder="1" applyAlignment="1">
      <alignment horizontal="center" vertical="top"/>
    </xf>
    <xf numFmtId="0" fontId="9" fillId="3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2/10/relationships/richValueRel" Target="richData/richValueRel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ill, Alexia" id="{23203F39-9711-484E-9793-459DA9A01DE8}" userId="S::att22@ic.ac.uk::24d75ad5-7aed-4589-b630-1de2922eb199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1-26T13:00:09.25" personId="{23203F39-9711-484E-9793-459DA9A01DE8}" id="{32DCF347-E24D-45C0-84E5-7CE24F96F087}">
    <text>Will need to edit/clean up this column for proper vscode read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9" dT="2025-11-27T10:01:37.70" personId="{23203F39-9711-484E-9793-459DA9A01DE8}" id="{F0CFB8D0-18C7-469B-B718-D86328B40F98}">
    <text>Can bond twice w aromatic and once with non aromatic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8" dT="2025-11-27T10:01:37.70" personId="{23203F39-9711-484E-9793-459DA9A01DE8}" id="{AD4A4445-F2DF-4F76-ACA1-BA0601A5FF57}">
    <text>Can bond twice w aromatic and once with non aromatic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AB394-30DD-479F-8B2A-89899618C1EE}">
  <dimension ref="A1:H222"/>
  <sheetViews>
    <sheetView workbookViewId="0">
      <selection activeCell="K9" sqref="K9"/>
    </sheetView>
  </sheetViews>
  <sheetFormatPr defaultRowHeight="15" x14ac:dyDescent="0.25"/>
  <sheetData>
    <row r="1" spans="1:8" ht="15.75" thickBot="1" x14ac:dyDescent="0.3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3">
        <v>1</v>
      </c>
      <c r="B2" s="3" t="s">
        <v>7</v>
      </c>
      <c r="C2" s="3">
        <v>0.92179999999999995</v>
      </c>
      <c r="D2" s="3">
        <v>0.75549999999999995</v>
      </c>
      <c r="E2" s="3">
        <v>7.5983000000000001</v>
      </c>
      <c r="F2" s="3">
        <v>2.3037000000000001</v>
      </c>
      <c r="G2" s="3">
        <v>2.2105000000000001</v>
      </c>
      <c r="H2" s="3">
        <v>2.3800000000000002E-2</v>
      </c>
    </row>
    <row r="3" spans="1:8" x14ac:dyDescent="0.25">
      <c r="A3" s="3">
        <v>2</v>
      </c>
      <c r="B3" s="3" t="s">
        <v>8</v>
      </c>
      <c r="C3" s="3">
        <v>0.57799999999999996</v>
      </c>
      <c r="D3" s="3">
        <v>0.29659999999999997</v>
      </c>
      <c r="E3" s="3">
        <v>-2.3E-3</v>
      </c>
      <c r="F3" s="3">
        <v>-0.16639999999999999</v>
      </c>
      <c r="G3" s="3">
        <v>-0.215</v>
      </c>
      <c r="H3" s="3">
        <v>1.66E-2</v>
      </c>
    </row>
    <row r="4" spans="1:8" x14ac:dyDescent="0.25">
      <c r="A4" s="3">
        <v>3</v>
      </c>
      <c r="B4" s="3" t="s">
        <v>9</v>
      </c>
      <c r="C4" s="3">
        <v>-0.11890000000000001</v>
      </c>
      <c r="D4" s="3">
        <v>-0.59599999999999997</v>
      </c>
      <c r="E4" s="3">
        <v>-7.5389999999999997</v>
      </c>
      <c r="F4" s="3">
        <v>-3.3851</v>
      </c>
      <c r="G4" s="3">
        <v>-2.6825999999999999</v>
      </c>
      <c r="H4" s="3">
        <v>8.3999999999999995E-3</v>
      </c>
    </row>
    <row r="5" spans="1:8" x14ac:dyDescent="0.25">
      <c r="A5" s="3">
        <v>4</v>
      </c>
      <c r="B5" s="3" t="s">
        <v>10</v>
      </c>
      <c r="C5" s="3">
        <v>-0.64949999999999997</v>
      </c>
      <c r="D5" s="3">
        <v>-0.3679</v>
      </c>
      <c r="E5" s="3">
        <v>-15.6455</v>
      </c>
      <c r="F5" s="3">
        <v>-5.1978999999999997</v>
      </c>
      <c r="G5" s="3">
        <v>-6.4821</v>
      </c>
      <c r="H5" s="3">
        <v>-1.5E-3</v>
      </c>
    </row>
    <row r="6" spans="1:8" x14ac:dyDescent="0.25">
      <c r="A6" s="3">
        <v>5</v>
      </c>
      <c r="B6" s="3" t="s">
        <v>11</v>
      </c>
      <c r="C6" s="3">
        <v>1.4953000000000001</v>
      </c>
      <c r="D6" s="3">
        <v>1.0429999999999999</v>
      </c>
      <c r="E6" s="3">
        <v>7.7504</v>
      </c>
      <c r="F6" s="3">
        <v>3.6751999999999998</v>
      </c>
      <c r="G6" s="3">
        <v>2.7673000000000001</v>
      </c>
      <c r="H6" s="3">
        <v>3.3300000000000003E-2</v>
      </c>
    </row>
    <row r="7" spans="1:8" x14ac:dyDescent="0.25">
      <c r="A7" s="3">
        <v>6</v>
      </c>
      <c r="B7" s="3" t="s">
        <v>12</v>
      </c>
      <c r="C7" s="3">
        <v>1.2000999999999999</v>
      </c>
      <c r="D7" s="3">
        <v>0.66</v>
      </c>
      <c r="E7" s="3">
        <v>0.4284</v>
      </c>
      <c r="F7" s="3">
        <v>3.0491999999999999</v>
      </c>
      <c r="G7" s="3">
        <v>0.86309999999999998</v>
      </c>
      <c r="H7" s="3">
        <v>2.4400000000000002E-2</v>
      </c>
    </row>
    <row r="8" spans="1:8" x14ac:dyDescent="0.25">
      <c r="A8" s="3">
        <v>7</v>
      </c>
      <c r="B8" s="3" t="s">
        <v>13</v>
      </c>
      <c r="C8" s="3">
        <v>1.0307999999999999</v>
      </c>
      <c r="D8" s="3">
        <v>0.3327</v>
      </c>
      <c r="E8" s="3">
        <v>0.1956</v>
      </c>
      <c r="F8" s="3">
        <v>2.3058999999999998</v>
      </c>
      <c r="G8" s="3">
        <v>1.0623</v>
      </c>
      <c r="H8" s="3">
        <v>2.3E-2</v>
      </c>
    </row>
    <row r="9" spans="1:8" x14ac:dyDescent="0.25">
      <c r="A9" s="3">
        <v>8</v>
      </c>
      <c r="B9" s="3" t="s">
        <v>14</v>
      </c>
      <c r="C9" s="3">
        <v>0.76459999999999995</v>
      </c>
      <c r="D9" s="3">
        <v>-0.39439999999999997</v>
      </c>
      <c r="E9" s="3">
        <v>-7.0086000000000004</v>
      </c>
      <c r="F9" s="3">
        <v>1.2789999999999999</v>
      </c>
      <c r="G9" s="3">
        <v>-0.12039999999999999</v>
      </c>
      <c r="H9" s="3">
        <v>1.0800000000000001E-2</v>
      </c>
    </row>
    <row r="10" spans="1:8" x14ac:dyDescent="0.25">
      <c r="A10" s="3">
        <v>9</v>
      </c>
      <c r="B10" s="3" t="s">
        <v>15</v>
      </c>
      <c r="C10" s="3">
        <v>0.40799999999999997</v>
      </c>
      <c r="D10" s="3">
        <v>-0.98260000000000003</v>
      </c>
      <c r="E10" s="3">
        <v>-14.616</v>
      </c>
      <c r="F10" s="3">
        <v>-1.4590000000000001</v>
      </c>
      <c r="G10" s="3">
        <v>-2.9994999999999998</v>
      </c>
      <c r="H10" s="3">
        <v>-2.0999999999999999E-3</v>
      </c>
    </row>
    <row r="11" spans="1:8" x14ac:dyDescent="0.25">
      <c r="A11" s="3">
        <v>10</v>
      </c>
      <c r="B11" s="3" t="s">
        <v>16</v>
      </c>
      <c r="C11" s="3">
        <v>2.1764000000000001</v>
      </c>
      <c r="D11" s="3">
        <v>1.6865000000000001</v>
      </c>
      <c r="E11" s="3">
        <v>7.7662000000000004</v>
      </c>
      <c r="F11" s="3">
        <v>2.2909999999999999</v>
      </c>
      <c r="G11" s="3">
        <v>3.6732999999999998</v>
      </c>
      <c r="H11" s="3">
        <v>4.3099999999999999E-2</v>
      </c>
    </row>
    <row r="12" spans="1:8" x14ac:dyDescent="0.25">
      <c r="A12" s="3">
        <v>11</v>
      </c>
      <c r="B12" s="3" t="s">
        <v>17</v>
      </c>
      <c r="C12" s="3">
        <v>1.7103999999999999</v>
      </c>
      <c r="D12" s="3">
        <v>1.5154000000000001</v>
      </c>
      <c r="E12" s="3">
        <v>-9.6500000000000002E-2</v>
      </c>
      <c r="F12" s="3">
        <v>-2.1074999999999999</v>
      </c>
      <c r="G12" s="3">
        <v>7.9100000000000004E-2</v>
      </c>
      <c r="H12" s="3">
        <v>3.6499999999999998E-2</v>
      </c>
    </row>
    <row r="13" spans="1:8" x14ac:dyDescent="0.25">
      <c r="A13" s="3">
        <v>12</v>
      </c>
      <c r="B13" s="3" t="s">
        <v>18</v>
      </c>
      <c r="C13" s="3" t="s">
        <v>19</v>
      </c>
      <c r="D13" s="3" t="s">
        <v>19</v>
      </c>
      <c r="E13" s="3" t="s">
        <v>19</v>
      </c>
      <c r="F13" s="3" t="s">
        <v>19</v>
      </c>
      <c r="G13" s="3" t="s">
        <v>19</v>
      </c>
      <c r="H13" s="3" t="s">
        <v>19</v>
      </c>
    </row>
    <row r="14" spans="1:8" x14ac:dyDescent="0.25">
      <c r="A14" s="3">
        <v>13</v>
      </c>
      <c r="B14" s="3" t="s">
        <v>20</v>
      </c>
      <c r="C14" s="3">
        <v>1.5883</v>
      </c>
      <c r="D14" s="3">
        <v>2.1745000000000001</v>
      </c>
      <c r="E14" s="3">
        <v>7.7801</v>
      </c>
      <c r="F14" s="3">
        <v>3.0384000000000002</v>
      </c>
      <c r="G14" s="3">
        <v>3.7484000000000002</v>
      </c>
      <c r="H14" s="3">
        <v>2.63E-2</v>
      </c>
    </row>
    <row r="15" spans="1:8" x14ac:dyDescent="0.25">
      <c r="A15" s="3">
        <v>14</v>
      </c>
      <c r="B15" s="3" t="s">
        <v>21</v>
      </c>
      <c r="C15" s="3">
        <v>1.2721</v>
      </c>
      <c r="D15" s="3">
        <v>1.3371999999999999</v>
      </c>
      <c r="E15" s="3">
        <v>-5.0299999999999997E-2</v>
      </c>
      <c r="F15" s="3">
        <v>-0.55279999999999996</v>
      </c>
      <c r="G15" s="3">
        <v>1.9581999999999999</v>
      </c>
      <c r="H15" s="3">
        <v>1.5900000000000001E-2</v>
      </c>
    </row>
    <row r="16" spans="1:8" x14ac:dyDescent="0.25">
      <c r="A16" s="3">
        <v>15</v>
      </c>
      <c r="B16" s="3" t="s">
        <v>22</v>
      </c>
      <c r="C16" s="3">
        <v>0.73319999999999996</v>
      </c>
      <c r="D16" s="3">
        <v>0.63170000000000004</v>
      </c>
      <c r="E16" s="3">
        <v>3.1133000000000002</v>
      </c>
      <c r="F16" s="3">
        <v>0.91900000000000004</v>
      </c>
      <c r="G16" s="3">
        <v>0.76939999999999997</v>
      </c>
      <c r="H16" s="3">
        <v>1.2E-2</v>
      </c>
    </row>
    <row r="17" spans="1:8" ht="42" x14ac:dyDescent="0.25">
      <c r="A17" s="3">
        <v>16</v>
      </c>
      <c r="B17" s="3" t="s">
        <v>23</v>
      </c>
      <c r="C17" s="3">
        <v>1.2531000000000001</v>
      </c>
      <c r="D17" s="3">
        <v>2.0941999999999998</v>
      </c>
      <c r="E17" s="3">
        <v>-3.0510000000000002</v>
      </c>
      <c r="F17" s="3">
        <v>-1.1298999999999999</v>
      </c>
      <c r="G17" s="3">
        <v>-2.7568999999999999</v>
      </c>
      <c r="H17" s="3">
        <v>4.5999999999999999E-3</v>
      </c>
    </row>
    <row r="18" spans="1:8" ht="42" x14ac:dyDescent="0.25">
      <c r="A18" s="3">
        <v>17</v>
      </c>
      <c r="B18" s="3" t="s">
        <v>24</v>
      </c>
      <c r="C18" s="3">
        <v>1.1611</v>
      </c>
      <c r="D18" s="3">
        <v>1.6734</v>
      </c>
      <c r="E18" s="3">
        <v>-4.4881000000000002</v>
      </c>
      <c r="F18" s="3">
        <v>-0.35539999999999999</v>
      </c>
      <c r="G18" s="3">
        <v>-2.6898</v>
      </c>
      <c r="H18" s="3">
        <v>3.5000000000000001E-3</v>
      </c>
    </row>
    <row r="19" spans="1:8" ht="21" x14ac:dyDescent="0.25">
      <c r="A19" s="3">
        <v>18</v>
      </c>
      <c r="B19" s="3" t="s">
        <v>25</v>
      </c>
      <c r="C19" s="3">
        <v>0.83169999999999999</v>
      </c>
      <c r="D19" s="3">
        <v>0.95099999999999996</v>
      </c>
      <c r="E19" s="3">
        <v>-6.6776999999999997</v>
      </c>
      <c r="F19" s="3">
        <v>-3.0945999999999998</v>
      </c>
      <c r="G19" s="3">
        <v>-1.4992000000000001</v>
      </c>
      <c r="H19" s="3">
        <v>7.1000000000000004E-3</v>
      </c>
    </row>
    <row r="20" spans="1:8" ht="31.5" x14ac:dyDescent="0.25">
      <c r="A20" s="3">
        <v>19</v>
      </c>
      <c r="B20" s="3" t="s">
        <v>26</v>
      </c>
      <c r="C20" s="3">
        <v>1.0507</v>
      </c>
      <c r="D20" s="3">
        <v>2.0185</v>
      </c>
      <c r="E20" s="3">
        <v>3.4095</v>
      </c>
      <c r="F20" s="3">
        <v>5.9009999999999998</v>
      </c>
      <c r="G20" s="3">
        <v>3.9266000000000001</v>
      </c>
      <c r="H20" s="3">
        <v>5.1999999999999998E-3</v>
      </c>
    </row>
    <row r="21" spans="1:8" x14ac:dyDescent="0.25">
      <c r="A21" s="3">
        <v>20</v>
      </c>
      <c r="B21" s="3" t="s">
        <v>27</v>
      </c>
      <c r="C21" s="3">
        <v>1.2616000000000001</v>
      </c>
      <c r="D21" s="3">
        <v>1.1154999999999999</v>
      </c>
      <c r="E21" s="3">
        <v>3.0811000000000002</v>
      </c>
      <c r="F21" s="3">
        <v>-1.1846000000000001</v>
      </c>
      <c r="G21" s="3">
        <v>0.17130000000000001</v>
      </c>
      <c r="H21" s="3">
        <v>3.0200000000000001E-2</v>
      </c>
    </row>
    <row r="22" spans="1:8" x14ac:dyDescent="0.25">
      <c r="A22" s="3">
        <v>21</v>
      </c>
      <c r="B22" s="3" t="s">
        <v>28</v>
      </c>
      <c r="C22" s="3">
        <v>0.85299999999999998</v>
      </c>
      <c r="D22" s="3">
        <v>-0.19220000000000001</v>
      </c>
      <c r="E22" s="3">
        <v>-5.0406000000000004</v>
      </c>
      <c r="F22" s="3">
        <v>-4.1989999999999998</v>
      </c>
      <c r="G22" s="3">
        <v>-3.1804999999999999</v>
      </c>
      <c r="H22" s="3">
        <v>2.29E-2</v>
      </c>
    </row>
    <row r="23" spans="1:8" x14ac:dyDescent="0.25">
      <c r="A23" s="3">
        <v>22</v>
      </c>
      <c r="B23" s="3" t="s">
        <v>29</v>
      </c>
      <c r="C23" s="3">
        <v>2.7400000000000001E-2</v>
      </c>
      <c r="D23" s="3">
        <v>-0.88449999999999995</v>
      </c>
      <c r="E23" s="3">
        <v>-13.622299999999999</v>
      </c>
      <c r="F23" s="3">
        <v>-5.2317999999999998</v>
      </c>
      <c r="G23" s="3">
        <v>-7.0890000000000004</v>
      </c>
      <c r="H23" s="3">
        <v>1.6199999999999999E-2</v>
      </c>
    </row>
    <row r="24" spans="1:8" x14ac:dyDescent="0.25">
      <c r="A24" s="3">
        <v>23</v>
      </c>
      <c r="B24" s="3" t="s">
        <v>30</v>
      </c>
      <c r="C24" s="3">
        <v>-0.60529999999999995</v>
      </c>
      <c r="D24" s="3">
        <v>-1.2958000000000001</v>
      </c>
      <c r="E24" s="3">
        <v>-21.2544</v>
      </c>
      <c r="F24" s="3">
        <v>-8.0888000000000009</v>
      </c>
      <c r="G24" s="3">
        <v>-7.8369999999999997</v>
      </c>
      <c r="H24" s="3">
        <v>9.4999999999999998E-3</v>
      </c>
    </row>
    <row r="25" spans="1:8" x14ac:dyDescent="0.25">
      <c r="A25" s="3">
        <v>24</v>
      </c>
      <c r="B25" s="3" t="s">
        <v>31</v>
      </c>
      <c r="C25" s="3">
        <v>1.8859999999999999</v>
      </c>
      <c r="D25" s="3">
        <v>1.3216000000000001</v>
      </c>
      <c r="E25" s="3">
        <v>3.0146999999999999</v>
      </c>
      <c r="F25" s="3">
        <v>-2.4384999999999999</v>
      </c>
      <c r="G25" s="3">
        <v>1.0566</v>
      </c>
      <c r="H25" s="3">
        <v>4.0899999999999999E-2</v>
      </c>
    </row>
    <row r="26" spans="1:8" x14ac:dyDescent="0.25">
      <c r="A26" s="3">
        <v>25</v>
      </c>
      <c r="B26" s="3" t="s">
        <v>32</v>
      </c>
      <c r="C26" s="3">
        <v>1.8784000000000001</v>
      </c>
      <c r="D26" s="3">
        <v>1.6682999999999999</v>
      </c>
      <c r="E26" s="3">
        <v>-4.6886000000000001</v>
      </c>
      <c r="F26" s="3">
        <v>-2.0933999999999999</v>
      </c>
      <c r="G26" s="3">
        <v>-3.6608000000000001</v>
      </c>
      <c r="H26" s="3">
        <v>2.87E-2</v>
      </c>
    </row>
    <row r="27" spans="1:8" x14ac:dyDescent="0.25">
      <c r="A27" s="3">
        <v>26</v>
      </c>
      <c r="B27" s="3" t="s">
        <v>33</v>
      </c>
      <c r="C27" s="3">
        <v>1.4167000000000001</v>
      </c>
      <c r="D27" s="3">
        <v>0.7823</v>
      </c>
      <c r="E27" s="3" t="s">
        <v>19</v>
      </c>
      <c r="F27" s="3" t="s">
        <v>19</v>
      </c>
      <c r="G27" s="3" t="s">
        <v>19</v>
      </c>
      <c r="H27" s="3">
        <v>2.9700000000000001E-2</v>
      </c>
    </row>
    <row r="28" spans="1:8" x14ac:dyDescent="0.25">
      <c r="A28" s="3">
        <v>27</v>
      </c>
      <c r="B28" s="3" t="s">
        <v>34</v>
      </c>
      <c r="C28" s="3">
        <v>1.8080000000000001</v>
      </c>
      <c r="D28" s="3">
        <v>1.7154</v>
      </c>
      <c r="E28" s="3">
        <v>3.2336999999999998</v>
      </c>
      <c r="F28" s="3">
        <v>-1.7948999999999999</v>
      </c>
      <c r="G28" s="3">
        <v>0.15310000000000001</v>
      </c>
      <c r="H28" s="3">
        <v>3.4700000000000002E-2</v>
      </c>
    </row>
    <row r="29" spans="1:8" x14ac:dyDescent="0.25">
      <c r="A29" s="3">
        <v>28</v>
      </c>
      <c r="B29" s="3" t="s">
        <v>35</v>
      </c>
      <c r="C29" s="3">
        <v>2.0510000000000002</v>
      </c>
      <c r="D29" s="3">
        <v>5.1688999999999998</v>
      </c>
      <c r="E29" s="3">
        <v>-4.3548999999999998</v>
      </c>
      <c r="F29" s="3" t="s">
        <v>19</v>
      </c>
      <c r="G29" s="3">
        <v>-2.9946000000000002</v>
      </c>
      <c r="H29" s="3">
        <v>4.1300000000000003E-2</v>
      </c>
    </row>
    <row r="30" spans="1:8" x14ac:dyDescent="0.25">
      <c r="A30" s="3">
        <v>29</v>
      </c>
      <c r="B30" s="3" t="s">
        <v>36</v>
      </c>
      <c r="C30" s="3">
        <v>2.2475999999999998</v>
      </c>
      <c r="D30" s="3">
        <v>3.2423999999999999</v>
      </c>
      <c r="E30" s="3">
        <v>8.0503</v>
      </c>
      <c r="F30" s="3">
        <v>5.2378999999999998</v>
      </c>
      <c r="G30" s="3">
        <v>11.8005</v>
      </c>
      <c r="H30" s="3">
        <v>4.1999999999999997E-3</v>
      </c>
    </row>
    <row r="31" spans="1:8" x14ac:dyDescent="0.25">
      <c r="A31" s="3">
        <v>30</v>
      </c>
      <c r="B31" s="3" t="s">
        <v>37</v>
      </c>
      <c r="C31" s="3">
        <v>2.5461</v>
      </c>
      <c r="D31" s="3">
        <v>5.1623999999999999</v>
      </c>
      <c r="E31" s="3">
        <v>3.3399000000000001</v>
      </c>
      <c r="F31" s="3">
        <v>1.3244</v>
      </c>
      <c r="G31" s="3">
        <v>7.7634999999999996</v>
      </c>
      <c r="H31" s="3">
        <v>1.7000000000000001E-2</v>
      </c>
    </row>
    <row r="32" spans="1:8" x14ac:dyDescent="0.25">
      <c r="A32" s="3">
        <v>31</v>
      </c>
      <c r="B32" s="3" t="s">
        <v>38</v>
      </c>
      <c r="C32" s="3">
        <v>3.9741</v>
      </c>
      <c r="D32" s="3">
        <v>6.6985999999999999</v>
      </c>
      <c r="E32" s="3">
        <v>8.4171999999999993</v>
      </c>
      <c r="F32" s="3">
        <v>3.14</v>
      </c>
      <c r="G32" s="3">
        <v>7.5917000000000003</v>
      </c>
      <c r="H32" s="3">
        <v>2.07E-2</v>
      </c>
    </row>
    <row r="33" spans="1:8" x14ac:dyDescent="0.25">
      <c r="A33" s="3">
        <v>32</v>
      </c>
      <c r="B33" s="3" t="s">
        <v>39</v>
      </c>
      <c r="C33" s="3">
        <v>4.5934999999999997</v>
      </c>
      <c r="D33" s="3">
        <v>14.099399999999999</v>
      </c>
      <c r="E33" s="3">
        <v>3.0851999999999999</v>
      </c>
      <c r="F33" s="3">
        <v>0.98709999999999998</v>
      </c>
      <c r="G33" s="3">
        <v>4.5545999999999998</v>
      </c>
      <c r="H33" s="3">
        <v>4.7800000000000002E-2</v>
      </c>
    </row>
    <row r="34" spans="1:8" x14ac:dyDescent="0.25">
      <c r="A34" s="3">
        <v>33</v>
      </c>
      <c r="B34" s="3" t="s">
        <v>40</v>
      </c>
      <c r="C34" s="3">
        <v>2.6907000000000001</v>
      </c>
      <c r="D34" s="3">
        <v>3.2534999999999998</v>
      </c>
      <c r="E34" s="3">
        <v>8.1106999999999996</v>
      </c>
      <c r="F34" s="3">
        <v>6.3822999999999999</v>
      </c>
      <c r="G34" s="3">
        <v>3.4394</v>
      </c>
      <c r="H34" s="3">
        <v>3.4700000000000002E-2</v>
      </c>
    </row>
    <row r="35" spans="1:8" x14ac:dyDescent="0.25">
      <c r="A35" s="3">
        <v>34</v>
      </c>
      <c r="B35" s="3" t="s">
        <v>41</v>
      </c>
      <c r="C35" s="3">
        <v>1.9664999999999999</v>
      </c>
      <c r="D35" s="3">
        <v>2.8589000000000002</v>
      </c>
      <c r="E35" s="3">
        <v>0.53710000000000002</v>
      </c>
      <c r="F35" s="3">
        <v>1.2706</v>
      </c>
      <c r="G35" s="3">
        <v>-7.8799999999999995E-2</v>
      </c>
      <c r="H35" s="3">
        <v>2.8299999999999999E-2</v>
      </c>
    </row>
    <row r="36" spans="1:8" x14ac:dyDescent="0.25">
      <c r="A36" s="3">
        <v>35</v>
      </c>
      <c r="B36" s="3" t="s">
        <v>42</v>
      </c>
      <c r="C36" s="3">
        <v>1.1924999999999999</v>
      </c>
      <c r="D36" s="3">
        <v>1.5649999999999999</v>
      </c>
      <c r="E36" s="3" t="s">
        <v>19</v>
      </c>
      <c r="F36" s="3" t="s">
        <v>19</v>
      </c>
      <c r="G36" s="3" t="s">
        <v>19</v>
      </c>
      <c r="H36" s="3">
        <v>1.9900000000000001E-2</v>
      </c>
    </row>
    <row r="37" spans="1:8" x14ac:dyDescent="0.25">
      <c r="A37" s="3">
        <v>36</v>
      </c>
      <c r="B37" s="3" t="s">
        <v>43</v>
      </c>
      <c r="C37" s="3">
        <v>0.59250000000000003</v>
      </c>
      <c r="D37" s="3">
        <v>1.9597</v>
      </c>
      <c r="E37" s="3">
        <v>-15.759600000000001</v>
      </c>
      <c r="F37" s="3" t="s">
        <v>19</v>
      </c>
      <c r="G37" s="3" t="s">
        <v>19</v>
      </c>
      <c r="H37" s="3">
        <v>2.81E-2</v>
      </c>
    </row>
    <row r="38" spans="1:8" x14ac:dyDescent="0.25">
      <c r="A38" s="3">
        <v>37</v>
      </c>
      <c r="B38" s="3" t="s">
        <v>44</v>
      </c>
      <c r="C38" s="3">
        <v>2.2519</v>
      </c>
      <c r="D38" s="3">
        <v>2.4973999999999998</v>
      </c>
      <c r="E38" s="3">
        <v>-3.8647999999999998</v>
      </c>
      <c r="F38" s="3">
        <v>8.5800000000000001E-2</v>
      </c>
      <c r="G38" s="3">
        <v>-0.8306</v>
      </c>
      <c r="H38" s="3">
        <v>2.0799999999999999E-2</v>
      </c>
    </row>
    <row r="39" spans="1:8" x14ac:dyDescent="0.25">
      <c r="A39" s="3">
        <v>38</v>
      </c>
      <c r="B39" s="3" t="s">
        <v>45</v>
      </c>
      <c r="C39" s="3">
        <v>2.1021000000000001</v>
      </c>
      <c r="D39" s="3">
        <v>2.9058999999999999</v>
      </c>
      <c r="E39" s="3">
        <v>7.8411</v>
      </c>
      <c r="F39" s="3">
        <v>7.8726000000000003</v>
      </c>
      <c r="G39" s="3">
        <v>5.3761000000000001</v>
      </c>
      <c r="H39" s="3">
        <v>1.67E-2</v>
      </c>
    </row>
    <row r="40" spans="1:8" x14ac:dyDescent="0.25">
      <c r="A40" s="3">
        <v>39</v>
      </c>
      <c r="B40" s="3" t="s">
        <v>46</v>
      </c>
      <c r="C40" s="3">
        <v>2.6711</v>
      </c>
      <c r="D40" s="3">
        <v>3.1633</v>
      </c>
      <c r="E40" s="3">
        <v>3.7273000000000001</v>
      </c>
      <c r="F40" s="3">
        <v>3.7488000000000001</v>
      </c>
      <c r="G40" s="3">
        <v>2.3963999999999999</v>
      </c>
      <c r="H40" s="3">
        <v>1.8700000000000001E-2</v>
      </c>
    </row>
    <row r="41" spans="1:8" x14ac:dyDescent="0.25">
      <c r="A41" s="3">
        <v>40</v>
      </c>
      <c r="B41" s="3" t="s">
        <v>47</v>
      </c>
      <c r="C41" s="3">
        <v>2.6198999999999999</v>
      </c>
      <c r="D41" s="3">
        <v>2.3902000000000001</v>
      </c>
      <c r="E41" s="3">
        <v>8.1606000000000005</v>
      </c>
      <c r="F41" s="3">
        <v>2.0405000000000002</v>
      </c>
      <c r="G41" s="3">
        <v>5.0132000000000003</v>
      </c>
      <c r="H41" s="3">
        <v>4.2299999999999997E-2</v>
      </c>
    </row>
    <row r="42" spans="1:8" x14ac:dyDescent="0.25">
      <c r="A42" s="3">
        <v>41</v>
      </c>
      <c r="B42" s="3" t="s">
        <v>48</v>
      </c>
      <c r="C42" s="3">
        <v>2.1181999999999999</v>
      </c>
      <c r="D42" s="3">
        <v>1.4258999999999999</v>
      </c>
      <c r="E42" s="3">
        <v>0.51480000000000004</v>
      </c>
      <c r="F42" s="3">
        <v>0.25950000000000001</v>
      </c>
      <c r="G42" s="3">
        <v>2.7824</v>
      </c>
      <c r="H42" s="3">
        <v>3.6400000000000002E-2</v>
      </c>
    </row>
    <row r="43" spans="1:8" x14ac:dyDescent="0.25">
      <c r="A43" s="3">
        <v>42</v>
      </c>
      <c r="B43" s="3" t="s">
        <v>49</v>
      </c>
      <c r="C43" s="3">
        <v>1.4466000000000001</v>
      </c>
      <c r="D43" s="3">
        <v>0.97719999999999996</v>
      </c>
      <c r="E43" s="3">
        <v>-7.2638999999999996</v>
      </c>
      <c r="F43" s="3">
        <v>-2.8696999999999999</v>
      </c>
      <c r="G43" s="3">
        <v>-1.1516999999999999</v>
      </c>
      <c r="H43" s="3">
        <v>2.8400000000000002E-2</v>
      </c>
    </row>
    <row r="44" spans="1:8" x14ac:dyDescent="0.25">
      <c r="A44" s="3">
        <v>43</v>
      </c>
      <c r="B44" s="3" t="s">
        <v>50</v>
      </c>
      <c r="C44" s="3">
        <v>0.57869999999999999</v>
      </c>
      <c r="D44" s="3">
        <v>0.4546</v>
      </c>
      <c r="E44" s="3">
        <v>-13.1897</v>
      </c>
      <c r="F44" s="3">
        <v>-13.7021</v>
      </c>
      <c r="G44" s="3">
        <v>-10.573499999999999</v>
      </c>
      <c r="H44" s="3">
        <v>2.24E-2</v>
      </c>
    </row>
    <row r="45" spans="1:8" x14ac:dyDescent="0.25">
      <c r="A45" s="3">
        <v>44</v>
      </c>
      <c r="B45" s="3" t="s">
        <v>51</v>
      </c>
      <c r="C45" s="3">
        <v>2.2248999999999999</v>
      </c>
      <c r="D45" s="3">
        <v>2.2831000000000001</v>
      </c>
      <c r="E45" s="3">
        <v>7.923</v>
      </c>
      <c r="F45" s="3">
        <v>4.8158000000000003</v>
      </c>
      <c r="G45" s="3">
        <v>6.8448000000000002</v>
      </c>
      <c r="H45" s="3">
        <v>2.5600000000000001E-2</v>
      </c>
    </row>
    <row r="46" spans="1:8" x14ac:dyDescent="0.25">
      <c r="A46" s="3">
        <v>45</v>
      </c>
      <c r="B46" s="3" t="s">
        <v>52</v>
      </c>
      <c r="C46" s="3">
        <v>2.1193</v>
      </c>
      <c r="D46" s="3">
        <v>1.5817000000000001</v>
      </c>
      <c r="E46" s="3">
        <v>-5.0496999999999996</v>
      </c>
      <c r="F46" s="3">
        <v>-0.38619999999999999</v>
      </c>
      <c r="G46" s="3">
        <v>-0.50409999999999999</v>
      </c>
      <c r="H46" s="3">
        <v>3.1199999999999999E-2</v>
      </c>
    </row>
    <row r="47" spans="1:8" x14ac:dyDescent="0.25">
      <c r="A47" s="3">
        <v>46</v>
      </c>
      <c r="B47" s="3" t="s">
        <v>53</v>
      </c>
      <c r="C47" s="3" t="s">
        <v>19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</row>
    <row r="48" spans="1:8" x14ac:dyDescent="0.25">
      <c r="A48" s="3">
        <v>47</v>
      </c>
      <c r="B48" s="3" t="s">
        <v>54</v>
      </c>
      <c r="C48" s="3">
        <v>2.0491000000000001</v>
      </c>
      <c r="D48" s="3">
        <v>3.6400999999999999</v>
      </c>
      <c r="E48" s="3">
        <v>-3.6494</v>
      </c>
      <c r="F48" s="3">
        <v>-2.0901000000000001</v>
      </c>
      <c r="G48" s="3">
        <v>-2.1899999999999999E-2</v>
      </c>
      <c r="H48" s="3">
        <v>2.4899999999999999E-2</v>
      </c>
    </row>
    <row r="49" spans="1:8" ht="21" x14ac:dyDescent="0.25">
      <c r="A49" s="3">
        <v>48</v>
      </c>
      <c r="B49" s="3" t="s">
        <v>55</v>
      </c>
      <c r="C49" s="3">
        <v>1.5802</v>
      </c>
      <c r="D49" s="3">
        <v>1.3861000000000001</v>
      </c>
      <c r="E49" s="3">
        <v>0.42199999999999999</v>
      </c>
      <c r="F49" s="3">
        <v>2.2042999999999999</v>
      </c>
      <c r="G49" s="3">
        <v>2.6377000000000002</v>
      </c>
      <c r="H49" s="3">
        <v>1.9599999999999999E-2</v>
      </c>
    </row>
    <row r="50" spans="1:8" x14ac:dyDescent="0.25">
      <c r="A50" s="3">
        <v>49</v>
      </c>
      <c r="B50" s="3" t="s">
        <v>56</v>
      </c>
      <c r="C50" s="3">
        <v>1.5840000000000001</v>
      </c>
      <c r="D50" s="3">
        <v>1.5577000000000001</v>
      </c>
      <c r="E50" s="3">
        <v>7.6317000000000004</v>
      </c>
      <c r="F50" s="3">
        <v>3.2153999999999998</v>
      </c>
      <c r="G50" s="3">
        <v>3.3464</v>
      </c>
      <c r="H50" s="3">
        <v>2.81E-2</v>
      </c>
    </row>
    <row r="51" spans="1:8" x14ac:dyDescent="0.25">
      <c r="A51" s="3">
        <v>50</v>
      </c>
      <c r="B51" s="3" t="s">
        <v>57</v>
      </c>
      <c r="C51" s="3">
        <v>0.97499999999999998</v>
      </c>
      <c r="D51" s="3">
        <v>0.67410000000000003</v>
      </c>
      <c r="E51" s="3">
        <v>0.1706</v>
      </c>
      <c r="F51" s="3">
        <v>0.51370000000000005</v>
      </c>
      <c r="G51" s="3">
        <v>0.8246</v>
      </c>
      <c r="H51" s="3">
        <v>2.2800000000000001E-2</v>
      </c>
    </row>
    <row r="52" spans="1:8" x14ac:dyDescent="0.25">
      <c r="A52" s="3">
        <v>51</v>
      </c>
      <c r="B52" s="3" t="s">
        <v>58</v>
      </c>
      <c r="C52" s="3">
        <v>0.32719999999999999</v>
      </c>
      <c r="D52" s="3">
        <v>-1.01E-2</v>
      </c>
      <c r="E52" s="3">
        <v>-7.6173999999999999</v>
      </c>
      <c r="F52" s="3">
        <v>-2.7092999999999998</v>
      </c>
      <c r="G52" s="3">
        <v>-2.1543000000000001</v>
      </c>
      <c r="H52" s="3">
        <v>2.0500000000000001E-2</v>
      </c>
    </row>
    <row r="53" spans="1:8" x14ac:dyDescent="0.25">
      <c r="A53" s="3">
        <v>52</v>
      </c>
      <c r="B53" s="3" t="s">
        <v>59</v>
      </c>
      <c r="C53" s="3">
        <v>-0.3387</v>
      </c>
      <c r="D53" s="3">
        <v>-0.2989</v>
      </c>
      <c r="E53" s="3" t="s">
        <v>19</v>
      </c>
      <c r="F53" s="3" t="s">
        <v>19</v>
      </c>
      <c r="G53" s="3" t="s">
        <v>19</v>
      </c>
      <c r="H53" s="3">
        <v>4.8999999999999998E-3</v>
      </c>
    </row>
    <row r="54" spans="1:8" x14ac:dyDescent="0.25">
      <c r="A54" s="3">
        <v>53</v>
      </c>
      <c r="B54" s="3" t="s">
        <v>60</v>
      </c>
      <c r="C54" s="3">
        <v>1.1476</v>
      </c>
      <c r="D54" s="3">
        <v>1.3230999999999999</v>
      </c>
      <c r="E54" s="3">
        <v>-4.4170999999999996</v>
      </c>
      <c r="F54" s="3">
        <v>-1.2975000000000001</v>
      </c>
      <c r="G54" s="3">
        <v>1.49E-2</v>
      </c>
      <c r="H54" s="3">
        <v>8.3999999999999995E-3</v>
      </c>
    </row>
    <row r="55" spans="1:8" x14ac:dyDescent="0.25">
      <c r="A55" s="3">
        <v>54</v>
      </c>
      <c r="B55" s="3" t="s">
        <v>61</v>
      </c>
      <c r="C55" s="3">
        <v>2.2639999999999998</v>
      </c>
      <c r="D55" s="3">
        <v>3.3490000000000002</v>
      </c>
      <c r="E55" s="3">
        <v>8.1995000000000005</v>
      </c>
      <c r="F55" s="3">
        <v>5.2100999999999997</v>
      </c>
      <c r="G55" s="3">
        <v>6.7984</v>
      </c>
      <c r="H55" s="3">
        <v>2.6200000000000001E-2</v>
      </c>
    </row>
    <row r="56" spans="1:8" x14ac:dyDescent="0.25">
      <c r="A56" s="3">
        <v>55</v>
      </c>
      <c r="B56" s="3" t="s">
        <v>62</v>
      </c>
      <c r="C56" s="3">
        <v>1.4372</v>
      </c>
      <c r="D56" s="3">
        <v>36.297400000000003</v>
      </c>
      <c r="E56" s="3">
        <v>-0.38119999999999998</v>
      </c>
      <c r="F56" s="3">
        <v>0.56159999999999999</v>
      </c>
      <c r="G56" s="3">
        <v>2.8953000000000002</v>
      </c>
      <c r="H56" s="3">
        <v>2.1399999999999999E-2</v>
      </c>
    </row>
    <row r="57" spans="1:8" x14ac:dyDescent="0.25">
      <c r="A57" s="3">
        <v>56</v>
      </c>
      <c r="B57" s="3" t="s">
        <v>63</v>
      </c>
      <c r="C57" s="3">
        <v>0.88629999999999998</v>
      </c>
      <c r="D57" s="3">
        <v>11.501099999999999</v>
      </c>
      <c r="E57" s="3" t="s">
        <v>19</v>
      </c>
      <c r="F57" s="3" t="s">
        <v>19</v>
      </c>
      <c r="G57" s="3" t="s">
        <v>19</v>
      </c>
      <c r="H57" s="3">
        <v>1.44E-2</v>
      </c>
    </row>
    <row r="58" spans="1:8" x14ac:dyDescent="0.25">
      <c r="A58" s="3">
        <v>57</v>
      </c>
      <c r="B58" s="3" t="s">
        <v>64</v>
      </c>
      <c r="C58" s="3">
        <v>1.986</v>
      </c>
      <c r="D58" s="3">
        <v>2.7393999999999998</v>
      </c>
      <c r="E58" s="3">
        <v>7.7306999999999997</v>
      </c>
      <c r="F58" s="3">
        <v>2.5065</v>
      </c>
      <c r="G58" s="3">
        <v>7.2550999999999997</v>
      </c>
      <c r="H58" s="3">
        <v>2.7900000000000001E-2</v>
      </c>
    </row>
    <row r="59" spans="1:8" x14ac:dyDescent="0.25">
      <c r="A59" s="3">
        <v>58</v>
      </c>
      <c r="B59" s="3" t="s">
        <v>65</v>
      </c>
      <c r="C59" s="3">
        <v>1.2689999999999999</v>
      </c>
      <c r="D59" s="3">
        <v>2.0377999999999998</v>
      </c>
      <c r="E59" s="3">
        <v>2.23E-2</v>
      </c>
      <c r="F59" s="3">
        <v>-0.71589999999999998</v>
      </c>
      <c r="G59" s="3">
        <v>1.4182999999999999</v>
      </c>
      <c r="H59" s="3">
        <v>2.46E-2</v>
      </c>
    </row>
    <row r="60" spans="1:8" x14ac:dyDescent="0.25">
      <c r="A60" s="3">
        <v>59</v>
      </c>
      <c r="B60" s="3" t="s">
        <v>66</v>
      </c>
      <c r="C60" s="3">
        <v>0.59399999999999997</v>
      </c>
      <c r="D60" s="3">
        <v>1.3226</v>
      </c>
      <c r="E60" s="3">
        <v>-7.5377000000000001</v>
      </c>
      <c r="F60" s="3">
        <v>-4.6694000000000004</v>
      </c>
      <c r="G60" s="3">
        <v>-2.2824</v>
      </c>
      <c r="H60" s="3">
        <v>1.8200000000000001E-2</v>
      </c>
    </row>
    <row r="61" spans="1:8" x14ac:dyDescent="0.25">
      <c r="A61" s="3">
        <v>60</v>
      </c>
      <c r="B61" s="3" t="s">
        <v>67</v>
      </c>
      <c r="C61" s="3">
        <v>0.999</v>
      </c>
      <c r="D61" s="3">
        <v>0.84819999999999995</v>
      </c>
      <c r="E61" s="3">
        <v>0.34939999999999999</v>
      </c>
      <c r="F61" s="3">
        <v>-0.42499999999999999</v>
      </c>
      <c r="G61" s="3">
        <v>2.4584999999999999</v>
      </c>
      <c r="H61" s="3">
        <v>2.6499999999999999E-2</v>
      </c>
    </row>
    <row r="62" spans="1:8" x14ac:dyDescent="0.25">
      <c r="A62" s="3">
        <v>61</v>
      </c>
      <c r="B62" s="3" t="s">
        <v>68</v>
      </c>
      <c r="C62" s="3">
        <v>0.33239999999999997</v>
      </c>
      <c r="D62" s="3">
        <v>-0.40839999999999999</v>
      </c>
      <c r="E62" s="3">
        <v>-6.7232000000000003</v>
      </c>
      <c r="F62" s="3">
        <v>-0.73540000000000005</v>
      </c>
      <c r="G62" s="3">
        <v>-7.3014000000000001</v>
      </c>
      <c r="H62" s="3">
        <v>1.9E-2</v>
      </c>
    </row>
    <row r="63" spans="1:8" x14ac:dyDescent="0.25">
      <c r="A63" s="3">
        <v>62</v>
      </c>
      <c r="B63" s="3" t="s">
        <v>69</v>
      </c>
      <c r="C63" s="3">
        <v>2.8635999999999999</v>
      </c>
      <c r="D63" s="3">
        <v>4.3384</v>
      </c>
      <c r="E63" s="3">
        <v>4.3726000000000003</v>
      </c>
      <c r="F63" s="3">
        <v>1.9766999999999999</v>
      </c>
      <c r="G63" s="3">
        <v>6.3616000000000001</v>
      </c>
      <c r="H63" s="3">
        <v>2.5999999999999999E-2</v>
      </c>
    </row>
    <row r="64" spans="1:8" x14ac:dyDescent="0.25">
      <c r="A64" s="3">
        <v>63</v>
      </c>
      <c r="B64" s="3" t="s">
        <v>70</v>
      </c>
      <c r="C64" s="3">
        <v>1.8969</v>
      </c>
      <c r="D64" s="3">
        <v>2.0754999999999999</v>
      </c>
      <c r="E64" s="3">
        <v>-3.9622999999999999</v>
      </c>
      <c r="F64" s="3">
        <v>-2.6745000000000001</v>
      </c>
      <c r="G64" s="3">
        <v>3.2589999999999999</v>
      </c>
      <c r="H64" s="3">
        <v>1.18E-2</v>
      </c>
    </row>
    <row r="65" spans="1:8" x14ac:dyDescent="0.25">
      <c r="A65" s="3">
        <v>64</v>
      </c>
      <c r="B65" s="3" t="s">
        <v>71</v>
      </c>
      <c r="C65" s="3">
        <v>1.0680000000000001</v>
      </c>
      <c r="D65" s="3">
        <v>1.4958</v>
      </c>
      <c r="E65" s="3" t="s">
        <v>19</v>
      </c>
      <c r="F65" s="3" t="s">
        <v>19</v>
      </c>
      <c r="G65" s="3" t="s">
        <v>19</v>
      </c>
      <c r="H65" s="3">
        <v>1.9E-2</v>
      </c>
    </row>
    <row r="66" spans="1:8" ht="24" x14ac:dyDescent="0.25">
      <c r="A66" s="3">
        <v>65</v>
      </c>
      <c r="B66" s="3" t="s">
        <v>72</v>
      </c>
      <c r="C66" s="3">
        <v>1.9866999999999999</v>
      </c>
      <c r="D66" s="3">
        <v>3.8058000000000001</v>
      </c>
      <c r="E66" s="3">
        <v>9.0936000000000003</v>
      </c>
      <c r="F66" s="3">
        <v>6.3555000000000001</v>
      </c>
      <c r="G66" s="3">
        <v>9.0777999999999999</v>
      </c>
      <c r="H66" s="3">
        <v>9.5999999999999992E-3</v>
      </c>
    </row>
    <row r="67" spans="1:8" x14ac:dyDescent="0.25">
      <c r="A67" s="3">
        <v>66</v>
      </c>
      <c r="B67" s="3" t="s">
        <v>73</v>
      </c>
      <c r="C67" s="3">
        <v>1.1099000000000001</v>
      </c>
      <c r="D67" s="3">
        <v>9.2630999999999997</v>
      </c>
      <c r="E67" s="3" t="s">
        <v>19</v>
      </c>
      <c r="F67" s="3" t="s">
        <v>19</v>
      </c>
      <c r="G67" s="3" t="s">
        <v>19</v>
      </c>
      <c r="H67" s="3" t="s">
        <v>19</v>
      </c>
    </row>
    <row r="68" spans="1:8" x14ac:dyDescent="0.25">
      <c r="A68" s="3">
        <v>67</v>
      </c>
      <c r="B68" s="3" t="s">
        <v>74</v>
      </c>
      <c r="C68" s="3">
        <v>0.78390000000000004</v>
      </c>
      <c r="D68" s="3">
        <v>1.371</v>
      </c>
      <c r="E68" s="3">
        <v>-8.1281999999999996</v>
      </c>
      <c r="F68" s="3">
        <v>-3.2229000000000001</v>
      </c>
      <c r="G68" s="3">
        <v>-3.1673</v>
      </c>
      <c r="H68" s="3" t="s">
        <v>19</v>
      </c>
    </row>
    <row r="69" spans="1:8" x14ac:dyDescent="0.25">
      <c r="A69" s="3">
        <v>68</v>
      </c>
      <c r="B69" s="3" t="s">
        <v>75</v>
      </c>
      <c r="C69" s="3">
        <v>3.5608</v>
      </c>
      <c r="D69" s="3">
        <v>2.6918000000000002</v>
      </c>
      <c r="E69" s="3">
        <v>8.5642999999999994</v>
      </c>
      <c r="F69" s="3">
        <v>10.8264</v>
      </c>
      <c r="G69" s="3">
        <v>3.3144</v>
      </c>
      <c r="H69" s="3">
        <v>3.1399999999999997E-2</v>
      </c>
    </row>
    <row r="70" spans="1:8" x14ac:dyDescent="0.25">
      <c r="A70" s="3">
        <v>69</v>
      </c>
      <c r="B70" s="3" t="s">
        <v>76</v>
      </c>
      <c r="C70" s="3">
        <v>2.7069999999999999</v>
      </c>
      <c r="D70" s="3">
        <v>1.7476</v>
      </c>
      <c r="E70" s="3">
        <v>1.3129999999999999</v>
      </c>
      <c r="F70" s="3">
        <v>4.1990999999999996</v>
      </c>
      <c r="G70" s="3">
        <v>1.7584</v>
      </c>
      <c r="H70" s="3">
        <v>2.5399999999999999E-2</v>
      </c>
    </row>
    <row r="71" spans="1:8" x14ac:dyDescent="0.25">
      <c r="A71" s="3">
        <v>70</v>
      </c>
      <c r="B71" s="3" t="s">
        <v>77</v>
      </c>
      <c r="C71" s="3">
        <v>1.7224999999999999</v>
      </c>
      <c r="D71" s="3">
        <v>2.8220000000000001</v>
      </c>
      <c r="E71" s="3">
        <v>-7.7575000000000003</v>
      </c>
      <c r="F71" s="3">
        <v>-0.88319999999999999</v>
      </c>
      <c r="G71" s="3">
        <v>0.47570000000000001</v>
      </c>
      <c r="H71" s="3">
        <v>2.1100000000000001E-2</v>
      </c>
    </row>
    <row r="72" spans="1:8" x14ac:dyDescent="0.25">
      <c r="A72" s="3">
        <v>71</v>
      </c>
      <c r="B72" s="3" t="s">
        <v>78</v>
      </c>
      <c r="C72" s="3">
        <v>3.0903999999999998</v>
      </c>
      <c r="D72" s="3">
        <v>5.1611000000000002</v>
      </c>
      <c r="E72" s="3">
        <v>3.4369999999999998</v>
      </c>
      <c r="F72" s="3">
        <v>4.8029999999999999</v>
      </c>
      <c r="G72" s="3">
        <v>0.60670000000000002</v>
      </c>
      <c r="H72" s="3">
        <v>2.9399999999999999E-2</v>
      </c>
    </row>
    <row r="73" spans="1:8" ht="21" x14ac:dyDescent="0.25">
      <c r="A73" s="3">
        <v>72</v>
      </c>
      <c r="B73" s="3" t="s">
        <v>79</v>
      </c>
      <c r="C73" s="3">
        <v>2.7378</v>
      </c>
      <c r="D73" s="3">
        <v>3.3708999999999998</v>
      </c>
      <c r="E73" s="3">
        <v>8.1538000000000004</v>
      </c>
      <c r="F73" s="3">
        <v>9.6317000000000004</v>
      </c>
      <c r="G73" s="3">
        <v>1.9218999999999999</v>
      </c>
      <c r="H73" s="3">
        <v>1.5800000000000002E-2</v>
      </c>
    </row>
    <row r="74" spans="1:8" x14ac:dyDescent="0.25">
      <c r="A74" s="3">
        <v>73</v>
      </c>
      <c r="B74" s="3" t="s">
        <v>80</v>
      </c>
      <c r="C74" s="3">
        <v>2.8854000000000002</v>
      </c>
      <c r="D74" s="3" t="s">
        <v>19</v>
      </c>
      <c r="E74" s="3">
        <v>7.8017000000000003</v>
      </c>
      <c r="F74" s="3">
        <v>9.6963000000000008</v>
      </c>
      <c r="G74" s="3">
        <v>0.28949999999999998</v>
      </c>
      <c r="H74" s="3">
        <v>4.02E-2</v>
      </c>
    </row>
    <row r="75" spans="1:8" x14ac:dyDescent="0.25">
      <c r="A75" s="3">
        <v>74</v>
      </c>
      <c r="B75" s="3" t="s">
        <v>81</v>
      </c>
      <c r="C75" s="3">
        <v>2.2381000000000002</v>
      </c>
      <c r="D75" s="3" t="s">
        <v>19</v>
      </c>
      <c r="E75" s="3" t="s">
        <v>19</v>
      </c>
      <c r="F75" s="3" t="s">
        <v>19</v>
      </c>
      <c r="G75" s="3" t="s">
        <v>19</v>
      </c>
      <c r="H75" s="3" t="s">
        <v>19</v>
      </c>
    </row>
    <row r="76" spans="1:8" x14ac:dyDescent="0.25">
      <c r="A76" s="3">
        <v>75</v>
      </c>
      <c r="B76" s="3" t="s">
        <v>82</v>
      </c>
      <c r="C76" s="3" t="s">
        <v>19</v>
      </c>
      <c r="D76" s="3">
        <v>9.8915000000000006</v>
      </c>
      <c r="E76" s="3" t="s">
        <v>19</v>
      </c>
      <c r="F76" s="3" t="s">
        <v>19</v>
      </c>
      <c r="G76" s="3" t="s">
        <v>19</v>
      </c>
      <c r="H76" s="3" t="s">
        <v>19</v>
      </c>
    </row>
    <row r="77" spans="1:8" x14ac:dyDescent="0.25">
      <c r="A77" s="3">
        <v>76</v>
      </c>
      <c r="B77" s="3" t="s">
        <v>83</v>
      </c>
      <c r="C77" s="3">
        <v>2.3797999999999999</v>
      </c>
      <c r="D77" s="3">
        <v>2.5987</v>
      </c>
      <c r="E77" s="3">
        <v>3.4988000000000001</v>
      </c>
      <c r="F77" s="3">
        <v>1.1837</v>
      </c>
      <c r="G77" s="3">
        <v>1.8845000000000001</v>
      </c>
      <c r="H77" s="3">
        <v>3.2500000000000001E-2</v>
      </c>
    </row>
    <row r="78" spans="1:8" x14ac:dyDescent="0.25">
      <c r="A78" s="3">
        <v>77</v>
      </c>
      <c r="B78" s="3" t="s">
        <v>84</v>
      </c>
      <c r="C78" s="3">
        <v>3.7227000000000001</v>
      </c>
      <c r="D78" s="3">
        <v>2.7999000000000001</v>
      </c>
      <c r="E78" s="3">
        <v>8.9177999999999997</v>
      </c>
      <c r="F78" s="3">
        <v>11.366</v>
      </c>
      <c r="G78" s="3">
        <v>3.1398000000000001</v>
      </c>
      <c r="H78" s="3">
        <v>3.3000000000000002E-2</v>
      </c>
    </row>
    <row r="79" spans="1:8" x14ac:dyDescent="0.25">
      <c r="A79" s="3">
        <v>78</v>
      </c>
      <c r="B79" s="3" t="s">
        <v>85</v>
      </c>
      <c r="C79" s="3">
        <v>2.8721000000000001</v>
      </c>
      <c r="D79" s="3">
        <v>0.85389999999999999</v>
      </c>
      <c r="E79" s="3">
        <v>0.88849999999999996</v>
      </c>
      <c r="F79" s="3">
        <v>6.5225999999999997</v>
      </c>
      <c r="G79" s="3">
        <v>0.82940000000000003</v>
      </c>
      <c r="H79" s="3">
        <v>2.4899999999999999E-2</v>
      </c>
    </row>
    <row r="80" spans="1:8" x14ac:dyDescent="0.25">
      <c r="A80" s="3">
        <v>79</v>
      </c>
      <c r="B80" s="3" t="s">
        <v>86</v>
      </c>
      <c r="C80" s="3">
        <v>2.1309</v>
      </c>
      <c r="D80" s="3">
        <v>6.4250999999999996</v>
      </c>
      <c r="E80" s="3">
        <v>-6.8570000000000002</v>
      </c>
      <c r="F80" s="3">
        <v>0.34449999999999997</v>
      </c>
      <c r="G80" s="3">
        <v>-0.52929999999999999</v>
      </c>
      <c r="H80" s="3">
        <v>5.04E-2</v>
      </c>
    </row>
    <row r="81" spans="1:8" x14ac:dyDescent="0.25">
      <c r="A81" s="3">
        <v>80</v>
      </c>
      <c r="B81" s="3" t="s">
        <v>87</v>
      </c>
      <c r="C81" s="3">
        <v>3.4712000000000001</v>
      </c>
      <c r="D81" s="3">
        <v>4.5278</v>
      </c>
      <c r="E81" s="3">
        <v>3.7302</v>
      </c>
      <c r="F81" s="3">
        <v>2.8689</v>
      </c>
      <c r="G81" s="3">
        <v>1.2032</v>
      </c>
      <c r="H81" s="3">
        <v>3.0800000000000001E-2</v>
      </c>
    </row>
    <row r="82" spans="1:8" ht="24" x14ac:dyDescent="0.25">
      <c r="A82" s="3">
        <v>81</v>
      </c>
      <c r="B82" s="3" t="s">
        <v>88</v>
      </c>
      <c r="C82" s="3">
        <v>2.8708999999999998</v>
      </c>
      <c r="D82" s="3">
        <v>3.4847000000000001</v>
      </c>
      <c r="E82" s="3">
        <v>7.5368000000000004</v>
      </c>
      <c r="F82" s="3">
        <v>3.8856999999999999</v>
      </c>
      <c r="G82" s="3">
        <v>2.9346000000000001</v>
      </c>
      <c r="H82" s="3">
        <v>1.7999999999999999E-2</v>
      </c>
    </row>
    <row r="83" spans="1:8" x14ac:dyDescent="0.25">
      <c r="A83" s="3">
        <v>82</v>
      </c>
      <c r="B83" s="3" t="s">
        <v>89</v>
      </c>
      <c r="C83" s="3">
        <v>1.7330000000000001</v>
      </c>
      <c r="D83" s="3" t="s">
        <v>19</v>
      </c>
      <c r="E83" s="3" t="s">
        <v>19</v>
      </c>
      <c r="F83" s="3" t="s">
        <v>19</v>
      </c>
      <c r="G83" s="3" t="s">
        <v>19</v>
      </c>
      <c r="H83" s="3" t="s">
        <v>19</v>
      </c>
    </row>
    <row r="84" spans="1:8" x14ac:dyDescent="0.25">
      <c r="A84" s="3">
        <v>83</v>
      </c>
      <c r="B84" s="3" t="s">
        <v>90</v>
      </c>
      <c r="C84" s="3">
        <v>2.7557999999999998</v>
      </c>
      <c r="D84" s="3">
        <v>2.5510999999999999</v>
      </c>
      <c r="E84" s="3">
        <v>8.0031999999999996</v>
      </c>
      <c r="F84" s="3">
        <v>7.4829999999999997</v>
      </c>
      <c r="G84" s="3">
        <v>2.7871000000000001</v>
      </c>
      <c r="H84" s="3">
        <v>2.8000000000000001E-2</v>
      </c>
    </row>
    <row r="85" spans="1:8" ht="27" x14ac:dyDescent="0.25">
      <c r="A85" s="3">
        <v>84</v>
      </c>
      <c r="B85" s="3" t="s">
        <v>91</v>
      </c>
      <c r="C85" s="3">
        <v>4.4591000000000003</v>
      </c>
      <c r="D85" s="3" t="s">
        <v>19</v>
      </c>
      <c r="E85" s="3">
        <v>0.75800000000000001</v>
      </c>
      <c r="F85" s="3">
        <v>5.8753000000000002</v>
      </c>
      <c r="G85" s="3">
        <v>1.6091</v>
      </c>
      <c r="H85" s="3" t="s">
        <v>19</v>
      </c>
    </row>
    <row r="86" spans="1:8" x14ac:dyDescent="0.25">
      <c r="A86" s="3">
        <v>85</v>
      </c>
      <c r="B86" s="3" t="s">
        <v>92</v>
      </c>
      <c r="C86" s="3">
        <v>5.9314</v>
      </c>
      <c r="D86" s="3" t="s">
        <v>19</v>
      </c>
      <c r="E86" s="3">
        <v>9.6016999999999992</v>
      </c>
      <c r="F86" s="3">
        <v>7.6962999999999999</v>
      </c>
      <c r="G86" s="3">
        <v>11.7895</v>
      </c>
      <c r="H86" s="3" t="s">
        <v>19</v>
      </c>
    </row>
    <row r="87" spans="1:8" x14ac:dyDescent="0.25">
      <c r="A87" s="3">
        <v>86</v>
      </c>
      <c r="B87" s="3" t="s">
        <v>93</v>
      </c>
      <c r="C87" s="3">
        <v>5.2881999999999998</v>
      </c>
      <c r="D87" s="3">
        <v>11.8818</v>
      </c>
      <c r="E87" s="3">
        <v>9.0888000000000009</v>
      </c>
      <c r="F87" s="3">
        <v>9.0328999999999997</v>
      </c>
      <c r="G87" s="3">
        <v>10.639799999999999</v>
      </c>
      <c r="H87" s="3">
        <v>1.47E-2</v>
      </c>
    </row>
    <row r="88" spans="1:8" x14ac:dyDescent="0.25">
      <c r="A88" s="3">
        <v>87</v>
      </c>
      <c r="B88" s="3" t="s">
        <v>94</v>
      </c>
      <c r="C88" s="3">
        <v>4.2195999999999998</v>
      </c>
      <c r="D88" s="3">
        <v>6.5932000000000004</v>
      </c>
      <c r="E88" s="3">
        <v>7.4016999999999999</v>
      </c>
      <c r="F88" s="3">
        <v>1.9963</v>
      </c>
      <c r="G88" s="3">
        <v>3.4895</v>
      </c>
      <c r="H88" s="3">
        <v>3.7999999999999999E-2</v>
      </c>
    </row>
    <row r="89" spans="1:8" x14ac:dyDescent="0.25">
      <c r="A89" s="3">
        <v>88</v>
      </c>
      <c r="B89" s="3" t="s">
        <v>95</v>
      </c>
      <c r="C89" s="3">
        <v>5.0237999999999996</v>
      </c>
      <c r="D89" s="3">
        <v>4.8098000000000001</v>
      </c>
      <c r="E89" s="3" t="s">
        <v>19</v>
      </c>
      <c r="F89" s="3" t="s">
        <v>19</v>
      </c>
      <c r="G89" s="3" t="s">
        <v>19</v>
      </c>
      <c r="H89" s="3" t="s">
        <v>19</v>
      </c>
    </row>
    <row r="90" spans="1:8" x14ac:dyDescent="0.25">
      <c r="A90" s="3">
        <v>89</v>
      </c>
      <c r="B90" s="3" t="s">
        <v>96</v>
      </c>
      <c r="C90" s="3">
        <v>4.7548000000000004</v>
      </c>
      <c r="D90" s="3">
        <v>3.7172999999999998</v>
      </c>
      <c r="E90" s="3">
        <v>9.0039999999999996</v>
      </c>
      <c r="F90" s="3">
        <v>8.9126999999999992</v>
      </c>
      <c r="G90" s="3">
        <v>6.8045999999999998</v>
      </c>
      <c r="H90" s="3">
        <v>5.33E-2</v>
      </c>
    </row>
    <row r="91" spans="1:8" x14ac:dyDescent="0.25">
      <c r="A91" s="3">
        <v>90</v>
      </c>
      <c r="B91" s="3" t="s">
        <v>97</v>
      </c>
      <c r="C91" s="3" t="s">
        <v>19</v>
      </c>
      <c r="D91" s="3">
        <v>1.7486999999999999</v>
      </c>
      <c r="E91" s="3" t="s">
        <v>19</v>
      </c>
      <c r="F91" s="3" t="s">
        <v>19</v>
      </c>
      <c r="G91" s="3" t="s">
        <v>19</v>
      </c>
      <c r="H91" s="3" t="s">
        <v>19</v>
      </c>
    </row>
    <row r="92" spans="1:8" x14ac:dyDescent="0.25">
      <c r="A92" s="3">
        <v>91</v>
      </c>
      <c r="B92" s="3" t="s">
        <v>98</v>
      </c>
      <c r="C92" s="3">
        <v>3.383</v>
      </c>
      <c r="D92" s="3">
        <v>2.1882000000000001</v>
      </c>
      <c r="E92" s="3">
        <v>-6.3948</v>
      </c>
      <c r="F92" s="3">
        <v>4.3887999999999998</v>
      </c>
      <c r="G92" s="3">
        <v>0.86860000000000004</v>
      </c>
      <c r="H92" s="3" t="s">
        <v>19</v>
      </c>
    </row>
    <row r="93" spans="1:8" x14ac:dyDescent="0.25">
      <c r="A93" s="3">
        <v>92</v>
      </c>
      <c r="B93" s="3" t="s">
        <v>99</v>
      </c>
      <c r="C93" s="3">
        <v>5.7621000000000002</v>
      </c>
      <c r="D93" s="3">
        <v>9.2736999999999998</v>
      </c>
      <c r="E93" s="3" t="s">
        <v>19</v>
      </c>
      <c r="F93" s="3" t="s">
        <v>19</v>
      </c>
      <c r="G93" s="3" t="s">
        <v>19</v>
      </c>
      <c r="H93" s="3" t="s">
        <v>19</v>
      </c>
    </row>
    <row r="94" spans="1:8" x14ac:dyDescent="0.25">
      <c r="A94" s="3">
        <v>93</v>
      </c>
      <c r="B94" s="3" t="s">
        <v>100</v>
      </c>
      <c r="C94" s="3">
        <v>4.0044000000000004</v>
      </c>
      <c r="D94" s="3">
        <v>3.3302999999999998</v>
      </c>
      <c r="E94" s="3" t="s">
        <v>19</v>
      </c>
      <c r="F94" s="3" t="s">
        <v>19</v>
      </c>
      <c r="G94" s="3" t="s">
        <v>19</v>
      </c>
      <c r="H94" s="3" t="s">
        <v>19</v>
      </c>
    </row>
    <row r="95" spans="1:8" x14ac:dyDescent="0.25">
      <c r="A95" s="3">
        <v>94</v>
      </c>
      <c r="B95" s="3" t="s">
        <v>101</v>
      </c>
      <c r="C95" s="3">
        <v>6.3135000000000003</v>
      </c>
      <c r="D95" s="3">
        <v>14.8384</v>
      </c>
      <c r="E95" s="3">
        <v>5.6337000000000002</v>
      </c>
      <c r="F95" s="3">
        <v>10.1051</v>
      </c>
      <c r="G95" s="3">
        <v>7.3531000000000004</v>
      </c>
      <c r="H95" s="3">
        <v>3.49E-2</v>
      </c>
    </row>
    <row r="96" spans="1:8" ht="21" x14ac:dyDescent="0.25">
      <c r="A96" s="3">
        <v>95</v>
      </c>
      <c r="B96" s="3" t="s">
        <v>102</v>
      </c>
      <c r="C96" s="3">
        <v>5.6657999999999999</v>
      </c>
      <c r="D96" s="3">
        <v>6.6017000000000001</v>
      </c>
      <c r="E96" s="3" t="s">
        <v>19</v>
      </c>
      <c r="F96" s="3" t="s">
        <v>19</v>
      </c>
      <c r="G96" s="3" t="s">
        <v>19</v>
      </c>
      <c r="H96" s="3">
        <v>3.5299999999999998E-2</v>
      </c>
    </row>
    <row r="97" spans="1:8" x14ac:dyDescent="0.25">
      <c r="A97" s="3">
        <v>96</v>
      </c>
      <c r="B97" s="3" t="s">
        <v>103</v>
      </c>
      <c r="C97" s="3">
        <v>3.7475000000000001</v>
      </c>
      <c r="D97" s="3">
        <v>3.5579999999999998</v>
      </c>
      <c r="E97" s="3" t="s">
        <v>19</v>
      </c>
      <c r="F97" s="3" t="s">
        <v>19</v>
      </c>
      <c r="G97" s="3" t="s">
        <v>19</v>
      </c>
      <c r="H97" s="3" t="s">
        <v>19</v>
      </c>
    </row>
    <row r="98" spans="1:8" x14ac:dyDescent="0.25">
      <c r="A98" s="3">
        <v>97</v>
      </c>
      <c r="B98" s="3" t="s">
        <v>104</v>
      </c>
      <c r="C98" s="3">
        <v>5.4325999999999999</v>
      </c>
      <c r="D98" s="3">
        <v>8.0246999999999993</v>
      </c>
      <c r="E98" s="3" t="s">
        <v>19</v>
      </c>
      <c r="F98" s="3" t="s">
        <v>19</v>
      </c>
      <c r="G98" s="3" t="s">
        <v>19</v>
      </c>
      <c r="H98" s="3" t="s">
        <v>19</v>
      </c>
    </row>
    <row r="99" spans="1:8" x14ac:dyDescent="0.25">
      <c r="A99" s="3">
        <v>98</v>
      </c>
      <c r="B99" s="3" t="s">
        <v>105</v>
      </c>
      <c r="C99" s="3">
        <v>5.3177000000000003</v>
      </c>
      <c r="D99" s="3">
        <v>9.4040999999999997</v>
      </c>
      <c r="E99" s="3">
        <v>-4.0045000000000002</v>
      </c>
      <c r="F99" s="3">
        <v>4.0297999999999998</v>
      </c>
      <c r="G99" s="3">
        <v>3.8028</v>
      </c>
      <c r="H99" s="3">
        <v>3.2599999999999997E-2</v>
      </c>
    </row>
    <row r="100" spans="1:8" x14ac:dyDescent="0.25">
      <c r="A100" s="3">
        <v>99</v>
      </c>
      <c r="B100" s="3" t="s">
        <v>106</v>
      </c>
      <c r="C100" s="3" t="s">
        <v>19</v>
      </c>
      <c r="D100" s="3">
        <v>6.6280000000000001</v>
      </c>
      <c r="E100" s="3" t="s">
        <v>19</v>
      </c>
      <c r="F100" s="3" t="s">
        <v>19</v>
      </c>
      <c r="G100" s="3" t="s">
        <v>19</v>
      </c>
      <c r="H100" s="3" t="s">
        <v>19</v>
      </c>
    </row>
    <row r="101" spans="1:8" x14ac:dyDescent="0.25">
      <c r="A101" s="3">
        <v>100</v>
      </c>
      <c r="B101" s="3" t="s">
        <v>107</v>
      </c>
      <c r="C101" s="3" t="s">
        <v>19</v>
      </c>
      <c r="D101" s="3">
        <v>9.718</v>
      </c>
      <c r="E101" s="3" t="s">
        <v>19</v>
      </c>
      <c r="F101" s="3" t="s">
        <v>19</v>
      </c>
      <c r="G101" s="3" t="s">
        <v>19</v>
      </c>
      <c r="H101" s="3" t="s">
        <v>19</v>
      </c>
    </row>
    <row r="102" spans="1:8" x14ac:dyDescent="0.25">
      <c r="A102" s="3">
        <v>101</v>
      </c>
      <c r="B102" s="3" t="s">
        <v>108</v>
      </c>
      <c r="C102" s="3" t="s">
        <v>19</v>
      </c>
      <c r="D102" s="3">
        <v>14.2361</v>
      </c>
      <c r="E102" s="3">
        <v>10.911199999999999</v>
      </c>
      <c r="F102" s="3">
        <v>5.5670999999999999</v>
      </c>
      <c r="G102" s="3">
        <v>8.1601999999999997</v>
      </c>
      <c r="H102" s="3" t="s">
        <v>19</v>
      </c>
    </row>
    <row r="103" spans="1:8" x14ac:dyDescent="0.25">
      <c r="A103" s="3">
        <v>102</v>
      </c>
      <c r="B103" s="3" t="s">
        <v>109</v>
      </c>
      <c r="C103" s="3" t="s">
        <v>19</v>
      </c>
      <c r="D103" s="3">
        <v>11.6648</v>
      </c>
      <c r="E103" s="3" t="s">
        <v>19</v>
      </c>
      <c r="F103" s="3" t="s">
        <v>19</v>
      </c>
      <c r="G103" s="3" t="s">
        <v>19</v>
      </c>
      <c r="H103" s="3" t="s">
        <v>19</v>
      </c>
    </row>
    <row r="104" spans="1:8" x14ac:dyDescent="0.25">
      <c r="A104" s="3">
        <v>103</v>
      </c>
      <c r="B104" s="3" t="s">
        <v>110</v>
      </c>
      <c r="C104" s="3">
        <v>5.1250999999999998</v>
      </c>
      <c r="D104" s="3">
        <v>7.9386000000000001</v>
      </c>
      <c r="E104" s="3" t="s">
        <v>19</v>
      </c>
      <c r="F104" s="3" t="s">
        <v>19</v>
      </c>
      <c r="G104" s="3" t="s">
        <v>19</v>
      </c>
      <c r="H104" s="3" t="s">
        <v>19</v>
      </c>
    </row>
    <row r="105" spans="1:8" x14ac:dyDescent="0.25">
      <c r="A105" s="3">
        <v>104</v>
      </c>
      <c r="B105" s="3" t="s">
        <v>111</v>
      </c>
      <c r="C105" s="3">
        <v>2.5897999999999999</v>
      </c>
      <c r="D105" s="3">
        <v>3.5800999999999998</v>
      </c>
      <c r="E105" s="3">
        <v>-13.693</v>
      </c>
      <c r="F105" s="3">
        <v>-1.0148999999999999</v>
      </c>
      <c r="G105" s="3">
        <v>2.1581000000000001</v>
      </c>
      <c r="H105" s="3" t="s">
        <v>19</v>
      </c>
    </row>
    <row r="106" spans="1:8" ht="24" x14ac:dyDescent="0.25">
      <c r="A106" s="3">
        <v>105</v>
      </c>
      <c r="B106" s="3" t="s">
        <v>112</v>
      </c>
      <c r="C106" s="3">
        <v>4.4036</v>
      </c>
      <c r="D106" s="3">
        <v>18.8093</v>
      </c>
      <c r="E106" s="3" t="s">
        <v>19</v>
      </c>
      <c r="F106" s="3" t="s">
        <v>19</v>
      </c>
      <c r="G106" s="3" t="s">
        <v>19</v>
      </c>
      <c r="H106" s="3" t="s">
        <v>19</v>
      </c>
    </row>
    <row r="107" spans="1:8" ht="21" x14ac:dyDescent="0.25">
      <c r="A107" s="3">
        <v>106</v>
      </c>
      <c r="B107" s="3" t="s">
        <v>113</v>
      </c>
      <c r="C107" s="3">
        <v>0.74960000000000004</v>
      </c>
      <c r="D107" s="3">
        <v>20.968800000000002</v>
      </c>
      <c r="E107" s="3" t="s">
        <v>19</v>
      </c>
      <c r="F107" s="3" t="s">
        <v>19</v>
      </c>
      <c r="G107" s="3" t="s">
        <v>19</v>
      </c>
      <c r="H107" s="3" t="s">
        <v>19</v>
      </c>
    </row>
    <row r="108" spans="1:8" ht="31.5" x14ac:dyDescent="0.25">
      <c r="A108" s="3">
        <v>107</v>
      </c>
      <c r="B108" s="3" t="s">
        <v>114</v>
      </c>
      <c r="C108" s="3" t="s">
        <v>19</v>
      </c>
      <c r="D108" s="3">
        <v>4.0640999999999998</v>
      </c>
      <c r="E108" s="3" t="s">
        <v>19</v>
      </c>
      <c r="F108" s="3" t="s">
        <v>19</v>
      </c>
      <c r="G108" s="3" t="s">
        <v>19</v>
      </c>
      <c r="H108" s="3" t="s">
        <v>19</v>
      </c>
    </row>
    <row r="109" spans="1:8" x14ac:dyDescent="0.25">
      <c r="A109" s="3">
        <v>108</v>
      </c>
      <c r="B109" s="3" t="s">
        <v>115</v>
      </c>
      <c r="C109" s="3">
        <v>2.2536999999999998</v>
      </c>
      <c r="D109" s="3">
        <v>1.9462999999999999</v>
      </c>
      <c r="E109" s="3">
        <v>8.8568999999999996</v>
      </c>
      <c r="F109" s="3">
        <v>4.3288000000000002</v>
      </c>
      <c r="G109" s="3">
        <v>2.1488999999999998</v>
      </c>
      <c r="H109" s="3">
        <v>3.1699999999999999E-2</v>
      </c>
    </row>
    <row r="110" spans="1:8" x14ac:dyDescent="0.25">
      <c r="A110" s="3">
        <v>109</v>
      </c>
      <c r="B110" s="3" t="s">
        <v>116</v>
      </c>
      <c r="C110" s="3">
        <v>1.4829000000000001</v>
      </c>
      <c r="D110" s="3">
        <v>1.1265000000000001</v>
      </c>
      <c r="E110" s="3">
        <v>0.68049999999999999</v>
      </c>
      <c r="F110" s="3">
        <v>2.4897</v>
      </c>
      <c r="G110" s="3">
        <v>-0.57330000000000003</v>
      </c>
      <c r="H110" s="3">
        <v>2.6700000000000002E-2</v>
      </c>
    </row>
    <row r="111" spans="1:8" x14ac:dyDescent="0.25">
      <c r="A111" s="3">
        <v>110</v>
      </c>
      <c r="B111" s="3" t="s">
        <v>117</v>
      </c>
      <c r="C111" s="3">
        <v>0.82150000000000001</v>
      </c>
      <c r="D111" s="3">
        <v>1.3438000000000001</v>
      </c>
      <c r="E111" s="3">
        <v>-7.3724999999999996</v>
      </c>
      <c r="F111" s="3">
        <v>0.77049999999999996</v>
      </c>
      <c r="G111" s="3">
        <v>-6.9931000000000001</v>
      </c>
      <c r="H111" s="3">
        <v>1.8800000000000001E-2</v>
      </c>
    </row>
    <row r="112" spans="1:8" x14ac:dyDescent="0.25">
      <c r="A112" s="3">
        <v>111</v>
      </c>
      <c r="B112" s="3" t="s">
        <v>118</v>
      </c>
      <c r="C112" s="3">
        <v>2.7458999999999998</v>
      </c>
      <c r="D112" s="3">
        <v>2.4933999999999998</v>
      </c>
      <c r="E112" s="3">
        <v>9.2348999999999997</v>
      </c>
      <c r="F112" s="3">
        <v>3.3633999999999999</v>
      </c>
      <c r="G112" s="3">
        <v>2.5206</v>
      </c>
      <c r="H112" s="3">
        <v>4.48E-2</v>
      </c>
    </row>
    <row r="113" spans="1:8" x14ac:dyDescent="0.25">
      <c r="A113" s="3">
        <v>112</v>
      </c>
      <c r="B113" s="3" t="s">
        <v>119</v>
      </c>
      <c r="C113" s="3">
        <v>2.1307</v>
      </c>
      <c r="D113" s="3">
        <v>3.2469999999999999</v>
      </c>
      <c r="E113" s="3">
        <v>1.0669</v>
      </c>
      <c r="F113" s="3">
        <v>1.0328999999999999</v>
      </c>
      <c r="G113" s="3">
        <v>-1.4311</v>
      </c>
      <c r="H113" s="3" t="s">
        <v>19</v>
      </c>
    </row>
    <row r="114" spans="1:8" x14ac:dyDescent="0.25">
      <c r="A114" s="3">
        <v>113</v>
      </c>
      <c r="B114" s="3" t="s">
        <v>120</v>
      </c>
      <c r="C114" s="3">
        <v>3.1057000000000001</v>
      </c>
      <c r="D114" s="3">
        <v>4.2882999999999996</v>
      </c>
      <c r="E114" s="3">
        <v>9.9021000000000008</v>
      </c>
      <c r="F114" s="3">
        <v>2.0680999999999998</v>
      </c>
      <c r="G114" s="3">
        <v>0.1333</v>
      </c>
      <c r="H114" s="3">
        <v>6.2100000000000002E-2</v>
      </c>
    </row>
    <row r="115" spans="1:8" x14ac:dyDescent="0.25">
      <c r="A115" s="3">
        <v>114</v>
      </c>
      <c r="B115" s="3" t="s">
        <v>121</v>
      </c>
      <c r="C115" s="3">
        <v>1.5154000000000001</v>
      </c>
      <c r="D115" s="3">
        <v>1.6657</v>
      </c>
      <c r="E115" s="3">
        <v>7.3856000000000002</v>
      </c>
      <c r="F115" s="3">
        <v>4.3613999999999997</v>
      </c>
      <c r="G115" s="3">
        <v>-1.2477</v>
      </c>
      <c r="H115" s="3">
        <v>2.5100000000000001E-2</v>
      </c>
    </row>
    <row r="116" spans="1:8" x14ac:dyDescent="0.25">
      <c r="A116" s="3">
        <v>115</v>
      </c>
      <c r="B116" s="3" t="s">
        <v>122</v>
      </c>
      <c r="C116" s="3" t="s">
        <v>19</v>
      </c>
      <c r="D116" s="3">
        <v>-0.20899999999999999</v>
      </c>
      <c r="E116" s="3">
        <v>-7.51E-2</v>
      </c>
      <c r="F116" s="3">
        <v>-1.0633999999999999</v>
      </c>
      <c r="G116" s="3">
        <v>-0.25490000000000002</v>
      </c>
      <c r="H116" s="3">
        <v>1.9300000000000001E-2</v>
      </c>
    </row>
    <row r="117" spans="1:8" x14ac:dyDescent="0.25">
      <c r="A117" s="3">
        <v>116</v>
      </c>
      <c r="B117" s="3" t="s">
        <v>123</v>
      </c>
      <c r="C117" s="3" t="s">
        <v>19</v>
      </c>
      <c r="D117" s="3" t="s">
        <v>19</v>
      </c>
      <c r="E117" s="3" t="s">
        <v>19</v>
      </c>
      <c r="F117" s="3" t="s">
        <v>19</v>
      </c>
      <c r="G117" s="3" t="s">
        <v>19</v>
      </c>
      <c r="H117" s="3" t="s">
        <v>19</v>
      </c>
    </row>
    <row r="118" spans="1:8" x14ac:dyDescent="0.25">
      <c r="A118" s="3">
        <v>117</v>
      </c>
      <c r="B118" s="3" t="s">
        <v>124</v>
      </c>
      <c r="C118" s="3">
        <v>1.6439999999999999</v>
      </c>
      <c r="D118" s="3">
        <v>1.9149</v>
      </c>
      <c r="E118" s="3">
        <v>7.6276999999999999</v>
      </c>
      <c r="F118" s="3">
        <v>6.0103</v>
      </c>
      <c r="G118" s="3">
        <v>1.0770999999999999</v>
      </c>
      <c r="H118" s="3">
        <v>3.49E-2</v>
      </c>
    </row>
    <row r="119" spans="1:8" x14ac:dyDescent="0.25">
      <c r="A119" s="3">
        <v>118</v>
      </c>
      <c r="B119" s="3" t="s">
        <v>125</v>
      </c>
      <c r="C119" s="3">
        <v>0.39910000000000001</v>
      </c>
      <c r="D119" s="3">
        <v>0.35139999999999999</v>
      </c>
      <c r="E119" s="3">
        <v>-0.72509999999999997</v>
      </c>
      <c r="F119" s="3" t="s">
        <v>19</v>
      </c>
      <c r="G119" s="3" t="s">
        <v>19</v>
      </c>
      <c r="H119" s="3">
        <v>2.52E-2</v>
      </c>
    </row>
    <row r="120" spans="1:8" x14ac:dyDescent="0.25">
      <c r="A120" s="3">
        <v>119</v>
      </c>
      <c r="B120" s="3" t="s">
        <v>126</v>
      </c>
      <c r="C120" s="3">
        <v>1.1119000000000001</v>
      </c>
      <c r="D120" s="3">
        <v>1.1548</v>
      </c>
      <c r="E120" s="3">
        <v>7.8128000000000002</v>
      </c>
      <c r="F120" s="3">
        <v>3.1133000000000002</v>
      </c>
      <c r="G120" s="3">
        <v>2.0148999999999999</v>
      </c>
      <c r="H120" s="3">
        <v>4.1200000000000001E-2</v>
      </c>
    </row>
    <row r="121" spans="1:8" x14ac:dyDescent="0.25">
      <c r="A121" s="3">
        <v>120</v>
      </c>
      <c r="B121" s="3" t="s">
        <v>127</v>
      </c>
      <c r="C121" s="3">
        <v>2.1787000000000001</v>
      </c>
      <c r="D121" s="3">
        <v>3.3365</v>
      </c>
      <c r="E121" s="3">
        <v>7.0789999999999997</v>
      </c>
      <c r="F121" s="3">
        <v>-1.0630999999999999</v>
      </c>
      <c r="G121" s="3" t="s">
        <v>19</v>
      </c>
      <c r="H121" s="3">
        <v>5.67E-2</v>
      </c>
    </row>
    <row r="122" spans="1:8" x14ac:dyDescent="0.25">
      <c r="A122" s="3">
        <v>121</v>
      </c>
      <c r="B122" s="3" t="s">
        <v>128</v>
      </c>
      <c r="C122" s="3">
        <v>1.8170999999999999</v>
      </c>
      <c r="D122" s="3">
        <v>1.2161</v>
      </c>
      <c r="E122" s="3">
        <v>7.7474999999999996</v>
      </c>
      <c r="F122" s="3">
        <v>0.33889999999999998</v>
      </c>
      <c r="G122" s="3">
        <v>3.8252000000000002</v>
      </c>
      <c r="H122" s="3">
        <v>3.9800000000000002E-2</v>
      </c>
    </row>
    <row r="123" spans="1:8" x14ac:dyDescent="0.25">
      <c r="A123" s="3">
        <v>122</v>
      </c>
      <c r="B123" s="3" t="s">
        <v>129</v>
      </c>
      <c r="C123" s="3">
        <v>1.5077</v>
      </c>
      <c r="D123" s="3">
        <v>1.8009999999999999</v>
      </c>
      <c r="E123" s="3">
        <v>6.5641999999999996</v>
      </c>
      <c r="F123" s="3">
        <v>1.2525999999999999</v>
      </c>
      <c r="G123" s="3" t="s">
        <v>19</v>
      </c>
      <c r="H123" s="3">
        <v>5.4600000000000003E-2</v>
      </c>
    </row>
    <row r="124" spans="1:8" x14ac:dyDescent="0.25">
      <c r="A124" s="3">
        <v>123</v>
      </c>
      <c r="B124" s="3" t="s">
        <v>130</v>
      </c>
      <c r="C124" s="3">
        <v>1.6649</v>
      </c>
      <c r="D124" s="3">
        <v>1.9911000000000001</v>
      </c>
      <c r="E124" s="3">
        <v>3.6334</v>
      </c>
      <c r="F124" s="3">
        <v>0.5595</v>
      </c>
      <c r="G124" s="3">
        <v>0.62380000000000002</v>
      </c>
      <c r="H124" s="3">
        <v>2.58E-2</v>
      </c>
    </row>
    <row r="125" spans="1:8" x14ac:dyDescent="0.25">
      <c r="A125" s="3">
        <v>124</v>
      </c>
      <c r="B125" s="3" t="s">
        <v>131</v>
      </c>
      <c r="C125" s="3">
        <v>0.68300000000000005</v>
      </c>
      <c r="D125" s="3">
        <v>0.92159999999999997</v>
      </c>
      <c r="E125" s="3">
        <v>2.9653</v>
      </c>
      <c r="F125" s="3">
        <v>0.41439999999999999</v>
      </c>
      <c r="G125" s="3">
        <v>0.2767</v>
      </c>
      <c r="H125" s="3">
        <v>1.67E-2</v>
      </c>
    </row>
    <row r="126" spans="1:8" x14ac:dyDescent="0.25">
      <c r="A126" s="3">
        <v>125</v>
      </c>
      <c r="B126" s="3" t="s">
        <v>132</v>
      </c>
      <c r="C126" s="3">
        <v>2.9439000000000002</v>
      </c>
      <c r="D126" s="3">
        <v>2.6444999999999999</v>
      </c>
      <c r="E126" s="3">
        <v>3.9337</v>
      </c>
      <c r="F126" s="3">
        <v>1.4051</v>
      </c>
      <c r="G126" s="3">
        <v>2.2530999999999999</v>
      </c>
      <c r="H126" s="3">
        <v>3.61E-2</v>
      </c>
    </row>
    <row r="127" spans="1:8" x14ac:dyDescent="0.25">
      <c r="A127" s="3">
        <v>126</v>
      </c>
      <c r="B127" s="3" t="s">
        <v>133</v>
      </c>
      <c r="C127" s="3">
        <v>2.2389999999999999</v>
      </c>
      <c r="D127" s="3">
        <v>2.6398000000000001</v>
      </c>
      <c r="E127" s="3">
        <v>4.0118</v>
      </c>
      <c r="F127" s="3">
        <v>1.7621</v>
      </c>
      <c r="G127" s="3">
        <v>1.6744000000000001</v>
      </c>
      <c r="H127" s="3">
        <v>0.03</v>
      </c>
    </row>
    <row r="128" spans="1:8" ht="21" x14ac:dyDescent="0.25">
      <c r="A128" s="3">
        <v>127</v>
      </c>
      <c r="B128" s="3" t="s">
        <v>134</v>
      </c>
      <c r="C128" s="3">
        <v>2.6522000000000001</v>
      </c>
      <c r="D128" s="3">
        <v>2.3997999999999999</v>
      </c>
      <c r="E128" s="3">
        <v>9.2912999999999997</v>
      </c>
      <c r="F128" s="3">
        <v>2.8794</v>
      </c>
      <c r="G128" s="3">
        <v>3.7401</v>
      </c>
      <c r="H128" s="3">
        <v>2.46E-2</v>
      </c>
    </row>
    <row r="129" spans="1:8" ht="21" x14ac:dyDescent="0.25">
      <c r="A129" s="3">
        <v>128</v>
      </c>
      <c r="B129" s="3" t="s">
        <v>135</v>
      </c>
      <c r="C129" s="3">
        <v>2.0280999999999998</v>
      </c>
      <c r="D129" s="3">
        <v>2.0415999999999999</v>
      </c>
      <c r="E129" s="3">
        <v>9.2790999999999997</v>
      </c>
      <c r="F129" s="3">
        <v>3.3944000000000001</v>
      </c>
      <c r="G129" s="3">
        <v>2.9788000000000001</v>
      </c>
      <c r="H129" s="3">
        <v>2.1299999999999999E-2</v>
      </c>
    </row>
    <row r="130" spans="1:8" ht="21" x14ac:dyDescent="0.25">
      <c r="A130" s="3">
        <v>129</v>
      </c>
      <c r="B130" s="3" t="s">
        <v>136</v>
      </c>
      <c r="C130" s="3">
        <v>0.71789999999999998</v>
      </c>
      <c r="D130" s="3">
        <v>0.8649</v>
      </c>
      <c r="E130" s="3">
        <v>6.4463999999999997</v>
      </c>
      <c r="F130" s="3">
        <v>4.7755999999999998</v>
      </c>
      <c r="G130" s="3">
        <v>5.1353999999999997</v>
      </c>
      <c r="H130" s="3">
        <v>1.23E-2</v>
      </c>
    </row>
    <row r="131" spans="1:8" ht="21" x14ac:dyDescent="0.25">
      <c r="A131" s="3">
        <v>130</v>
      </c>
      <c r="B131" s="3" t="s">
        <v>137</v>
      </c>
      <c r="C131" s="3">
        <v>1.3561000000000001</v>
      </c>
      <c r="D131" s="3">
        <v>1.4162999999999999</v>
      </c>
      <c r="E131" s="3">
        <v>8.0525000000000002</v>
      </c>
      <c r="F131" s="3">
        <v>2.7610999999999999</v>
      </c>
      <c r="G131" s="3">
        <v>1.8748</v>
      </c>
      <c r="H131" s="3">
        <v>1.8100000000000002E-2</v>
      </c>
    </row>
    <row r="132" spans="1:8" x14ac:dyDescent="0.25">
      <c r="A132" s="3">
        <v>131</v>
      </c>
      <c r="B132" s="3" t="s">
        <v>138</v>
      </c>
      <c r="C132" s="3">
        <v>3.7479</v>
      </c>
      <c r="D132" s="3">
        <v>4.0755999999999997</v>
      </c>
      <c r="E132" s="3">
        <v>8.7017000000000007</v>
      </c>
      <c r="F132" s="3">
        <v>1.6962999999999999</v>
      </c>
      <c r="G132" s="3">
        <v>17.9895</v>
      </c>
      <c r="H132" s="3">
        <v>2.2700000000000001E-2</v>
      </c>
    </row>
    <row r="133" spans="1:8" x14ac:dyDescent="0.25">
      <c r="A133" s="3">
        <v>132</v>
      </c>
      <c r="B133" s="3" t="s">
        <v>139</v>
      </c>
      <c r="C133" s="3">
        <v>3.1107</v>
      </c>
      <c r="D133" s="3">
        <v>4.0968</v>
      </c>
      <c r="E133" s="3">
        <v>0.30459999999999998</v>
      </c>
      <c r="F133" s="3">
        <v>-0.2243</v>
      </c>
      <c r="G133" s="3">
        <v>5.0366</v>
      </c>
      <c r="H133" s="3" t="s">
        <v>19</v>
      </c>
    </row>
    <row r="134" spans="1:8" x14ac:dyDescent="0.25">
      <c r="A134" s="3">
        <v>133</v>
      </c>
      <c r="B134" s="3" t="s">
        <v>140</v>
      </c>
      <c r="C134" s="3" t="s">
        <v>19</v>
      </c>
      <c r="D134" s="3">
        <v>9.4613999999999994</v>
      </c>
      <c r="E134" s="3" t="s">
        <v>19</v>
      </c>
      <c r="F134" s="3" t="s">
        <v>19</v>
      </c>
      <c r="G134" s="3" t="s">
        <v>19</v>
      </c>
      <c r="H134" s="3" t="s">
        <v>19</v>
      </c>
    </row>
    <row r="135" spans="1:8" ht="24" x14ac:dyDescent="0.25">
      <c r="A135" s="3">
        <v>134</v>
      </c>
      <c r="B135" s="3" t="s">
        <v>141</v>
      </c>
      <c r="C135" s="3">
        <v>3.8180999999999998</v>
      </c>
      <c r="D135" s="3">
        <v>2.4297</v>
      </c>
      <c r="E135" s="3">
        <v>8.3026999999999997</v>
      </c>
      <c r="F135" s="3">
        <v>5.7112999999999996</v>
      </c>
      <c r="G135" s="3">
        <v>9.9562000000000008</v>
      </c>
      <c r="H135" s="3">
        <v>4.1700000000000001E-2</v>
      </c>
    </row>
    <row r="136" spans="1:8" x14ac:dyDescent="0.25">
      <c r="A136" s="3">
        <v>135</v>
      </c>
      <c r="B136" s="3" t="s">
        <v>142</v>
      </c>
      <c r="C136" s="3">
        <v>3.1219999999999999</v>
      </c>
      <c r="D136" s="3">
        <v>10.9421</v>
      </c>
      <c r="E136" s="3">
        <v>0.31209999999999999</v>
      </c>
      <c r="F136" s="3">
        <v>-1.5733999999999999</v>
      </c>
      <c r="G136" s="3">
        <v>5.1166999999999998</v>
      </c>
      <c r="H136" s="3">
        <v>3.8100000000000002E-2</v>
      </c>
    </row>
    <row r="137" spans="1:8" x14ac:dyDescent="0.25">
      <c r="A137" s="3">
        <v>136</v>
      </c>
      <c r="B137" s="3" t="s">
        <v>143</v>
      </c>
      <c r="C137" s="3">
        <v>2.9868999999999999</v>
      </c>
      <c r="D137" s="3">
        <v>1.7526999999999999</v>
      </c>
      <c r="E137" s="3">
        <v>8.8099999999999998E-2</v>
      </c>
      <c r="F137" s="3">
        <v>0.71819999999999995</v>
      </c>
      <c r="G137" s="3">
        <v>4.8512000000000004</v>
      </c>
      <c r="H137" s="3">
        <v>3.9199999999999999E-2</v>
      </c>
    </row>
    <row r="138" spans="1:8" x14ac:dyDescent="0.25">
      <c r="A138" s="3">
        <v>137</v>
      </c>
      <c r="B138" s="3" t="s">
        <v>144</v>
      </c>
      <c r="C138" s="3">
        <v>2.9996</v>
      </c>
      <c r="D138" s="3">
        <v>4.1967999999999996</v>
      </c>
      <c r="E138" s="3">
        <v>7.4016999999999999</v>
      </c>
      <c r="F138" s="3">
        <v>12.696300000000001</v>
      </c>
      <c r="G138" s="3">
        <v>27.7895</v>
      </c>
      <c r="H138" s="3">
        <v>1.04E-2</v>
      </c>
    </row>
    <row r="139" spans="1:8" x14ac:dyDescent="0.25">
      <c r="A139" s="3">
        <v>138</v>
      </c>
      <c r="B139" s="3" t="s">
        <v>145</v>
      </c>
      <c r="C139" s="3">
        <v>2.5878999999999999</v>
      </c>
      <c r="D139" s="3">
        <v>2.1850999999999998</v>
      </c>
      <c r="E139" s="3">
        <v>8.5494000000000003</v>
      </c>
      <c r="F139" s="3">
        <v>3.8374000000000001</v>
      </c>
      <c r="G139" s="3">
        <v>4.2415000000000003</v>
      </c>
      <c r="H139" s="3">
        <v>3.4099999999999998E-2</v>
      </c>
    </row>
    <row r="140" spans="1:8" x14ac:dyDescent="0.25">
      <c r="A140" s="3">
        <v>139</v>
      </c>
      <c r="B140" s="3" t="s">
        <v>146</v>
      </c>
      <c r="C140" s="3">
        <v>1.8392999999999999</v>
      </c>
      <c r="D140" s="3">
        <v>0.58140000000000003</v>
      </c>
      <c r="E140" s="3">
        <v>1.3615999999999999</v>
      </c>
      <c r="F140" s="3">
        <v>1.9228000000000001</v>
      </c>
      <c r="G140" s="3">
        <v>2.2675000000000001</v>
      </c>
      <c r="H140" s="3">
        <v>2.8899999999999999E-2</v>
      </c>
    </row>
    <row r="141" spans="1:8" x14ac:dyDescent="0.25">
      <c r="A141" s="3">
        <v>140</v>
      </c>
      <c r="B141" s="3" t="s">
        <v>147</v>
      </c>
      <c r="C141" s="3">
        <v>1.1874</v>
      </c>
      <c r="D141" s="3">
        <v>4.7552000000000003</v>
      </c>
      <c r="E141" s="3" t="s">
        <v>19</v>
      </c>
      <c r="F141" s="3" t="s">
        <v>19</v>
      </c>
      <c r="G141" s="3" t="s">
        <v>19</v>
      </c>
      <c r="H141" s="3">
        <v>2.1600000000000001E-2</v>
      </c>
    </row>
    <row r="142" spans="1:8" x14ac:dyDescent="0.25">
      <c r="A142" s="3">
        <v>141</v>
      </c>
      <c r="B142" s="3" t="s">
        <v>148</v>
      </c>
      <c r="C142" s="3">
        <v>2.5228000000000002</v>
      </c>
      <c r="D142" s="3">
        <v>3.0327999999999999</v>
      </c>
      <c r="E142" s="3">
        <v>4.4581999999999997</v>
      </c>
      <c r="F142" s="3">
        <v>7.0199999999999999E-2</v>
      </c>
      <c r="G142" s="3">
        <v>4.5740999999999996</v>
      </c>
      <c r="H142" s="3">
        <v>2.69E-2</v>
      </c>
    </row>
    <row r="143" spans="1:8" ht="21" x14ac:dyDescent="0.25">
      <c r="A143" s="3">
        <v>142</v>
      </c>
      <c r="B143" s="3" t="s">
        <v>149</v>
      </c>
      <c r="C143" s="3">
        <v>2.0773999999999999</v>
      </c>
      <c r="D143" s="3">
        <v>2.6726999999999999</v>
      </c>
      <c r="E143" s="3">
        <v>8.7339000000000002</v>
      </c>
      <c r="F143" s="3">
        <v>2.5118</v>
      </c>
      <c r="G143" s="3">
        <v>6.0326000000000004</v>
      </c>
      <c r="H143" s="3">
        <v>1.61E-2</v>
      </c>
    </row>
    <row r="144" spans="1:8" x14ac:dyDescent="0.25">
      <c r="A144" s="3">
        <v>143</v>
      </c>
      <c r="B144" s="3" t="s">
        <v>150</v>
      </c>
      <c r="C144" s="3">
        <v>2.5028999999999999</v>
      </c>
      <c r="D144" s="3">
        <v>1.8634999999999999</v>
      </c>
      <c r="E144" s="3">
        <v>8.8002000000000002</v>
      </c>
      <c r="F144" s="3">
        <v>3.6190000000000002</v>
      </c>
      <c r="G144" s="3">
        <v>3.2505999999999999</v>
      </c>
      <c r="H144" s="3">
        <v>3.56E-2</v>
      </c>
    </row>
    <row r="145" spans="1:8" x14ac:dyDescent="0.25">
      <c r="A145" s="3">
        <v>144</v>
      </c>
      <c r="B145" s="3" t="s">
        <v>151</v>
      </c>
      <c r="C145" s="3">
        <v>1.9548000000000001</v>
      </c>
      <c r="D145" s="3">
        <v>0.8881</v>
      </c>
      <c r="E145" s="3">
        <v>0.72940000000000005</v>
      </c>
      <c r="F145" s="3">
        <v>-1.2999999999999999E-2</v>
      </c>
      <c r="G145" s="3">
        <v>0.12509999999999999</v>
      </c>
      <c r="H145" s="3">
        <v>2.9399999999999999E-2</v>
      </c>
    </row>
    <row r="146" spans="1:8" x14ac:dyDescent="0.25">
      <c r="A146" s="3">
        <v>145</v>
      </c>
      <c r="B146" s="3" t="s">
        <v>152</v>
      </c>
      <c r="C146" s="3">
        <v>1.2625999999999999</v>
      </c>
      <c r="D146" s="3">
        <v>0.59350000000000003</v>
      </c>
      <c r="E146" s="3" t="s">
        <v>19</v>
      </c>
      <c r="F146" s="3" t="s">
        <v>19</v>
      </c>
      <c r="G146" s="3" t="s">
        <v>19</v>
      </c>
      <c r="H146" s="3">
        <v>7.17E-2</v>
      </c>
    </row>
    <row r="147" spans="1:8" x14ac:dyDescent="0.25">
      <c r="A147" s="3">
        <v>146</v>
      </c>
      <c r="B147" s="3" t="s">
        <v>153</v>
      </c>
      <c r="C147" s="3">
        <v>0.6391</v>
      </c>
      <c r="D147" s="3">
        <v>1.5882000000000001</v>
      </c>
      <c r="E147" s="3" t="s">
        <v>19</v>
      </c>
      <c r="F147" s="3" t="s">
        <v>19</v>
      </c>
      <c r="G147" s="3" t="s">
        <v>19</v>
      </c>
      <c r="H147" s="3">
        <v>1.3299999999999999E-2</v>
      </c>
    </row>
    <row r="148" spans="1:8" x14ac:dyDescent="0.25">
      <c r="A148" s="3">
        <v>147</v>
      </c>
      <c r="B148" s="3" t="s">
        <v>154</v>
      </c>
      <c r="C148" s="3">
        <v>1.7834000000000001</v>
      </c>
      <c r="D148" s="3">
        <v>0.98939999999999995</v>
      </c>
      <c r="E148" s="3">
        <v>-3.5646</v>
      </c>
      <c r="F148" s="3">
        <v>-2.0985999999999998</v>
      </c>
      <c r="G148" s="3">
        <v>-1.3573999999999999</v>
      </c>
      <c r="H148" s="3">
        <v>3.1699999999999999E-2</v>
      </c>
    </row>
    <row r="149" spans="1:8" x14ac:dyDescent="0.25">
      <c r="A149" s="3">
        <v>148</v>
      </c>
      <c r="B149" s="3" t="s">
        <v>155</v>
      </c>
      <c r="C149" s="3">
        <v>4.7622</v>
      </c>
      <c r="D149" s="3">
        <v>5.3102999999999998</v>
      </c>
      <c r="E149" s="3">
        <v>1.7891999999999999</v>
      </c>
      <c r="F149" s="3">
        <v>7.4638999999999998</v>
      </c>
      <c r="G149" s="3">
        <v>3.7446999999999999</v>
      </c>
      <c r="H149" s="3">
        <v>1.43E-2</v>
      </c>
    </row>
    <row r="150" spans="1:8" x14ac:dyDescent="0.25">
      <c r="A150" s="18">
        <v>149</v>
      </c>
      <c r="B150" s="18" t="e" vm="1">
        <v>#VALUE!</v>
      </c>
      <c r="C150" s="18">
        <v>5.0639000000000003</v>
      </c>
      <c r="D150" s="18">
        <v>6.4215</v>
      </c>
      <c r="E150" s="3">
        <v>1.6659999999999999</v>
      </c>
      <c r="F150" s="3">
        <v>8.4335000000000004</v>
      </c>
      <c r="G150" s="3">
        <v>-0.33250000000000002</v>
      </c>
      <c r="H150" s="18">
        <v>2.3699999999999999E-2</v>
      </c>
    </row>
    <row r="151" spans="1:8" x14ac:dyDescent="0.25">
      <c r="A151" s="18"/>
      <c r="B151" s="18"/>
      <c r="C151" s="18"/>
      <c r="D151" s="18"/>
      <c r="E151" s="3"/>
      <c r="F151" s="3"/>
      <c r="G151" s="3"/>
      <c r="H151" s="18"/>
    </row>
    <row r="152" spans="1:8" x14ac:dyDescent="0.25">
      <c r="A152" s="3">
        <v>150</v>
      </c>
      <c r="B152" s="3" t="s">
        <v>156</v>
      </c>
      <c r="C152" s="3">
        <v>2.8972000000000002</v>
      </c>
      <c r="D152" s="3" t="s">
        <v>19</v>
      </c>
      <c r="E152" s="3" t="s">
        <v>19</v>
      </c>
      <c r="F152" s="3" t="s">
        <v>19</v>
      </c>
      <c r="G152" s="3" t="s">
        <v>19</v>
      </c>
      <c r="H152" s="3">
        <v>3.1399999999999997E-2</v>
      </c>
    </row>
    <row r="153" spans="1:8" ht="24" x14ac:dyDescent="0.25">
      <c r="A153" s="3">
        <v>151</v>
      </c>
      <c r="B153" s="3" t="s">
        <v>157</v>
      </c>
      <c r="C153" s="3">
        <v>5.0138999999999996</v>
      </c>
      <c r="D153" s="3">
        <v>5.9382000000000001</v>
      </c>
      <c r="E153" s="3">
        <v>0.85399999999999998</v>
      </c>
      <c r="F153" s="3">
        <v>2.5127000000000002</v>
      </c>
      <c r="G153" s="3">
        <v>2.8046000000000002</v>
      </c>
      <c r="H153" s="3">
        <v>5.5199999999999999E-2</v>
      </c>
    </row>
    <row r="154" spans="1:8" x14ac:dyDescent="0.25">
      <c r="A154" s="3">
        <v>152</v>
      </c>
      <c r="B154" s="3" t="s">
        <v>158</v>
      </c>
      <c r="C154" s="3">
        <v>4.1394000000000002</v>
      </c>
      <c r="D154" s="3">
        <v>3.7900999999999998</v>
      </c>
      <c r="E154" s="3">
        <v>1.5058</v>
      </c>
      <c r="F154" s="3">
        <v>11.408899999999999</v>
      </c>
      <c r="G154" s="3">
        <v>4.1940999999999997</v>
      </c>
      <c r="H154" s="3">
        <v>3.4099999999999998E-2</v>
      </c>
    </row>
    <row r="155" spans="1:8" x14ac:dyDescent="0.25">
      <c r="A155" s="3">
        <v>153</v>
      </c>
      <c r="B155" s="3" t="s">
        <v>159</v>
      </c>
      <c r="C155" s="3">
        <v>4.3677999999999999</v>
      </c>
      <c r="D155" s="3">
        <v>4.9397000000000002</v>
      </c>
      <c r="E155" s="3">
        <v>-3.7968999999999999</v>
      </c>
      <c r="F155" s="3">
        <v>6.4367999999999999</v>
      </c>
      <c r="G155" s="3">
        <v>-1.0694999999999999</v>
      </c>
      <c r="H155" s="3" t="s">
        <v>19</v>
      </c>
    </row>
    <row r="156" spans="1:8" x14ac:dyDescent="0.25">
      <c r="A156" s="3">
        <v>154</v>
      </c>
      <c r="B156" s="3" t="s">
        <v>160</v>
      </c>
      <c r="C156" s="3" t="s">
        <v>19</v>
      </c>
      <c r="D156" s="3">
        <v>4.3704999999999998</v>
      </c>
      <c r="E156" s="3">
        <v>-3.2917999999999998</v>
      </c>
      <c r="F156" s="3">
        <v>9.0284999999999993</v>
      </c>
      <c r="G156" s="3">
        <v>-0.31909999999999999</v>
      </c>
      <c r="H156" s="3" t="s">
        <v>19</v>
      </c>
    </row>
    <row r="157" spans="1:8" ht="21" x14ac:dyDescent="0.25">
      <c r="A157" s="3">
        <v>155</v>
      </c>
      <c r="B157" s="3" t="s">
        <v>161</v>
      </c>
      <c r="C157" s="3" t="s">
        <v>19</v>
      </c>
      <c r="D157" s="3" t="s">
        <v>19</v>
      </c>
      <c r="E157" s="3" t="s">
        <v>19</v>
      </c>
      <c r="F157" s="3" t="s">
        <v>19</v>
      </c>
      <c r="G157" s="3" t="s">
        <v>19</v>
      </c>
      <c r="H157" s="3" t="s">
        <v>19</v>
      </c>
    </row>
    <row r="158" spans="1:8" ht="21" x14ac:dyDescent="0.25">
      <c r="A158" s="3">
        <v>156</v>
      </c>
      <c r="B158" s="3" t="s">
        <v>162</v>
      </c>
      <c r="C158" s="3">
        <v>0.70960000000000001</v>
      </c>
      <c r="D158" s="3">
        <v>7.2900000000000006E-2</v>
      </c>
      <c r="E158" s="3">
        <v>-5.7575000000000003</v>
      </c>
      <c r="F158" s="3">
        <v>-4.6832000000000003</v>
      </c>
      <c r="G158" s="3" t="s">
        <v>19</v>
      </c>
      <c r="H158" s="3">
        <v>1.9199999999999998E-2</v>
      </c>
    </row>
    <row r="159" spans="1:8" ht="24" x14ac:dyDescent="0.25">
      <c r="A159" s="3">
        <v>157</v>
      </c>
      <c r="B159" s="3" t="s">
        <v>163</v>
      </c>
      <c r="C159" s="3">
        <v>1.7858000000000001</v>
      </c>
      <c r="D159" s="3" t="s">
        <v>19</v>
      </c>
      <c r="E159" s="3" t="s">
        <v>19</v>
      </c>
      <c r="F159" s="3" t="s">
        <v>19</v>
      </c>
      <c r="G159" s="3" t="s">
        <v>19</v>
      </c>
      <c r="H159" s="3" t="s">
        <v>19</v>
      </c>
    </row>
    <row r="160" spans="1:8" ht="34.5" x14ac:dyDescent="0.25">
      <c r="A160" s="3">
        <v>158</v>
      </c>
      <c r="B160" s="3" t="s">
        <v>164</v>
      </c>
      <c r="C160" s="3">
        <v>4.2813999999999997</v>
      </c>
      <c r="D160" s="3">
        <v>-0.93469999999999998</v>
      </c>
      <c r="E160" s="3" t="s">
        <v>19</v>
      </c>
      <c r="F160" s="3" t="s">
        <v>19</v>
      </c>
      <c r="G160" s="3" t="s">
        <v>19</v>
      </c>
      <c r="H160" s="3" t="s">
        <v>19</v>
      </c>
    </row>
    <row r="161" spans="1:8" ht="34.5" x14ac:dyDescent="0.25">
      <c r="A161" s="3">
        <v>159</v>
      </c>
      <c r="B161" s="3" t="s">
        <v>165</v>
      </c>
      <c r="C161" s="3">
        <v>2.8786999999999998</v>
      </c>
      <c r="D161" s="3">
        <v>0.49930000000000002</v>
      </c>
      <c r="E161" s="3">
        <v>-6.0458999999999996</v>
      </c>
      <c r="F161" s="3">
        <v>5.4504000000000001</v>
      </c>
      <c r="G161" s="3">
        <v>0.62909999999999999</v>
      </c>
      <c r="H161" s="3" t="s">
        <v>19</v>
      </c>
    </row>
    <row r="162" spans="1:8" ht="24" x14ac:dyDescent="0.25">
      <c r="A162" s="3">
        <v>160</v>
      </c>
      <c r="B162" s="3" t="s">
        <v>166</v>
      </c>
      <c r="C162" s="3" t="s">
        <v>19</v>
      </c>
      <c r="D162" s="3">
        <v>2.3569</v>
      </c>
      <c r="E162" s="3" t="s">
        <v>19</v>
      </c>
      <c r="F162" s="3" t="s">
        <v>19</v>
      </c>
      <c r="G162" s="3" t="s">
        <v>19</v>
      </c>
      <c r="H162" s="3" t="s">
        <v>19</v>
      </c>
    </row>
    <row r="163" spans="1:8" ht="24" x14ac:dyDescent="0.25">
      <c r="A163" s="3">
        <v>161</v>
      </c>
      <c r="B163" s="3" t="s">
        <v>167</v>
      </c>
      <c r="C163" s="3">
        <v>2.5427</v>
      </c>
      <c r="D163" s="3">
        <v>1.9244000000000001</v>
      </c>
      <c r="E163" s="3">
        <v>-6.3010000000000002</v>
      </c>
      <c r="F163" s="3">
        <v>4.3365999999999998</v>
      </c>
      <c r="G163" s="3">
        <v>2.1175999999999999</v>
      </c>
      <c r="H163" s="3">
        <v>3.1399999999999997E-2</v>
      </c>
    </row>
    <row r="164" spans="1:8" x14ac:dyDescent="0.25">
      <c r="A164" s="3">
        <v>162</v>
      </c>
      <c r="B164" s="3" t="s">
        <v>168</v>
      </c>
      <c r="C164" s="3" t="s">
        <v>19</v>
      </c>
      <c r="D164" s="3">
        <v>-2.2355</v>
      </c>
      <c r="E164" s="3">
        <v>-13.4419</v>
      </c>
      <c r="F164" s="3">
        <v>1.7377</v>
      </c>
      <c r="G164" s="3">
        <v>-1.7607999999999999</v>
      </c>
      <c r="H164" s="3">
        <v>6.0900000000000003E-2</v>
      </c>
    </row>
    <row r="165" spans="1:8" x14ac:dyDescent="0.25">
      <c r="A165" s="3">
        <v>163</v>
      </c>
      <c r="B165" s="3" t="s">
        <v>169</v>
      </c>
      <c r="C165" s="3" t="s">
        <v>19</v>
      </c>
      <c r="D165" s="3">
        <v>0.19500000000000001</v>
      </c>
      <c r="E165" s="3" t="s">
        <v>19</v>
      </c>
      <c r="F165" s="3" t="s">
        <v>19</v>
      </c>
      <c r="G165" s="3" t="s">
        <v>19</v>
      </c>
      <c r="H165" s="3">
        <v>3.4599999999999999E-2</v>
      </c>
    </row>
    <row r="166" spans="1:8" ht="24" x14ac:dyDescent="0.25">
      <c r="A166" s="3">
        <v>164</v>
      </c>
      <c r="B166" s="3" t="s">
        <v>170</v>
      </c>
      <c r="C166" s="3">
        <v>2.2078000000000002</v>
      </c>
      <c r="D166" s="3">
        <v>2.7606000000000002</v>
      </c>
      <c r="E166" s="3">
        <v>0.10580000000000001</v>
      </c>
      <c r="F166" s="3">
        <v>0.65890000000000004</v>
      </c>
      <c r="G166" s="3">
        <v>2.3940999999999999</v>
      </c>
      <c r="H166" s="3">
        <v>2.3099999999999999E-2</v>
      </c>
    </row>
    <row r="167" spans="1:8" x14ac:dyDescent="0.25">
      <c r="A167" s="3">
        <v>165</v>
      </c>
      <c r="B167" s="3" t="s">
        <v>171</v>
      </c>
      <c r="C167" s="3">
        <v>2.714</v>
      </c>
      <c r="D167" s="3">
        <v>1.5194000000000001</v>
      </c>
      <c r="E167" s="3">
        <v>9.548</v>
      </c>
      <c r="F167" s="3">
        <v>4.6184000000000003</v>
      </c>
      <c r="G167" s="3">
        <v>7.9801000000000002</v>
      </c>
      <c r="H167" s="3">
        <v>2.8500000000000001E-2</v>
      </c>
    </row>
    <row r="168" spans="1:8" x14ac:dyDescent="0.25">
      <c r="A168" s="3">
        <v>166</v>
      </c>
      <c r="B168" s="3" t="s">
        <v>172</v>
      </c>
      <c r="C168" s="3">
        <v>1.7849999999999999</v>
      </c>
      <c r="D168" s="3">
        <v>-2.0257999999999998</v>
      </c>
      <c r="E168" s="3">
        <v>4.6310000000000002</v>
      </c>
      <c r="F168" s="3">
        <v>4.0936000000000003</v>
      </c>
      <c r="G168" s="3">
        <v>2.0651000000000002</v>
      </c>
      <c r="H168" s="3">
        <v>2.9000000000000001E-2</v>
      </c>
    </row>
    <row r="169" spans="1:8" x14ac:dyDescent="0.25">
      <c r="A169" s="3">
        <v>167</v>
      </c>
      <c r="B169" s="3" t="s">
        <v>173</v>
      </c>
      <c r="C169" s="3" t="s">
        <v>19</v>
      </c>
      <c r="D169" s="3">
        <v>-0.36799999999999999</v>
      </c>
      <c r="E169" s="3" t="s">
        <v>19</v>
      </c>
      <c r="F169" s="3" t="s">
        <v>19</v>
      </c>
      <c r="G169" s="3" t="s">
        <v>19</v>
      </c>
      <c r="H169" s="3" t="s">
        <v>19</v>
      </c>
    </row>
    <row r="170" spans="1:8" x14ac:dyDescent="0.25">
      <c r="A170" s="3">
        <v>168</v>
      </c>
      <c r="B170" s="3" t="s">
        <v>174</v>
      </c>
      <c r="C170" s="3">
        <v>0.7147</v>
      </c>
      <c r="D170" s="3">
        <v>0.53129999999999999</v>
      </c>
      <c r="E170" s="3">
        <v>2.6692999999999998</v>
      </c>
      <c r="F170" s="3">
        <v>0.51039999999999996</v>
      </c>
      <c r="G170" s="3">
        <v>0.6159</v>
      </c>
      <c r="H170" s="3">
        <v>1.6E-2</v>
      </c>
    </row>
    <row r="171" spans="1:8" x14ac:dyDescent="0.25">
      <c r="A171" s="3">
        <v>169</v>
      </c>
      <c r="B171" s="3" t="s">
        <v>175</v>
      </c>
      <c r="C171" s="3">
        <v>0.41370000000000001</v>
      </c>
      <c r="D171" s="3">
        <v>-0.1298</v>
      </c>
      <c r="E171" s="3">
        <v>-3.6903000000000001</v>
      </c>
      <c r="F171" s="3">
        <v>-3.2065000000000001</v>
      </c>
      <c r="G171" s="3">
        <v>-0.5171</v>
      </c>
      <c r="H171" s="3">
        <v>5.8999999999999999E-3</v>
      </c>
    </row>
    <row r="172" spans="1:8" x14ac:dyDescent="0.25">
      <c r="A172" s="3">
        <v>170</v>
      </c>
      <c r="B172" s="3" t="s">
        <v>176</v>
      </c>
      <c r="C172" s="3">
        <v>-0.38090000000000002</v>
      </c>
      <c r="D172" s="3">
        <v>0.13220000000000001</v>
      </c>
      <c r="E172" s="3">
        <v>-10.222899999999999</v>
      </c>
      <c r="F172" s="3">
        <v>-2.6202000000000001</v>
      </c>
      <c r="G172" s="3">
        <v>-2.6328999999999998</v>
      </c>
      <c r="H172" s="3">
        <v>0.13930000000000001</v>
      </c>
    </row>
    <row r="173" spans="1:8" ht="21" x14ac:dyDescent="0.25">
      <c r="A173" s="3">
        <v>171</v>
      </c>
      <c r="B173" s="3" t="s">
        <v>177</v>
      </c>
      <c r="C173" s="3">
        <v>1.3771</v>
      </c>
      <c r="D173" s="3">
        <v>1.2254</v>
      </c>
      <c r="E173" s="3">
        <v>7.1859999999999999</v>
      </c>
      <c r="F173" s="3">
        <v>0.74819999999999998</v>
      </c>
      <c r="G173" s="3">
        <v>1.9775</v>
      </c>
      <c r="H173" s="3">
        <v>2.46E-2</v>
      </c>
    </row>
    <row r="174" spans="1:8" ht="21" x14ac:dyDescent="0.25">
      <c r="A174" s="3">
        <v>172</v>
      </c>
      <c r="B174" s="3" t="s">
        <v>178</v>
      </c>
      <c r="C174" s="3">
        <v>0.92469999999999997</v>
      </c>
      <c r="D174" s="3">
        <v>0.82699999999999996</v>
      </c>
      <c r="E174" s="3">
        <v>-1.1666000000000001</v>
      </c>
      <c r="F174" s="3">
        <v>3.3073999999999999</v>
      </c>
      <c r="G174" s="3">
        <v>-1.5024999999999999</v>
      </c>
      <c r="H174" s="3">
        <v>2E-3</v>
      </c>
    </row>
    <row r="175" spans="1:8" x14ac:dyDescent="0.25">
      <c r="A175" s="3">
        <v>173</v>
      </c>
      <c r="B175" s="3" t="s">
        <v>179</v>
      </c>
      <c r="C175" s="3">
        <v>0.66239999999999999</v>
      </c>
      <c r="D175" s="3">
        <v>1.0683</v>
      </c>
      <c r="E175" s="3">
        <v>-7.5564999999999998</v>
      </c>
      <c r="F175" s="3">
        <v>-7.2796000000000003</v>
      </c>
      <c r="G175" s="3">
        <v>-17.012</v>
      </c>
      <c r="H175" s="3">
        <v>-3.61E-2</v>
      </c>
    </row>
    <row r="176" spans="1:8" ht="24" x14ac:dyDescent="0.25">
      <c r="A176" s="3">
        <v>174</v>
      </c>
      <c r="B176" s="3" t="s">
        <v>180</v>
      </c>
      <c r="C176" s="3">
        <v>1.2533000000000001</v>
      </c>
      <c r="D176" s="3">
        <v>0.80389999999999995</v>
      </c>
      <c r="E176" s="3">
        <v>7.2047999999999996</v>
      </c>
      <c r="F176" s="3">
        <v>4.2872000000000003</v>
      </c>
      <c r="G176" s="3">
        <v>2.4163000000000001</v>
      </c>
      <c r="H176" s="3">
        <v>3.1300000000000001E-2</v>
      </c>
    </row>
    <row r="177" spans="1:8" x14ac:dyDescent="0.25">
      <c r="A177" s="3">
        <v>175</v>
      </c>
      <c r="B177" s="3" t="s">
        <v>181</v>
      </c>
      <c r="C177" s="3">
        <v>1.7013</v>
      </c>
      <c r="D177" s="3">
        <v>4.0385</v>
      </c>
      <c r="E177" s="3">
        <v>4.9383999999999997</v>
      </c>
      <c r="F177" s="3">
        <v>2.5434000000000001</v>
      </c>
      <c r="G177" s="3">
        <v>3.4089999999999998</v>
      </c>
      <c r="H177" s="3">
        <v>3.5000000000000001E-3</v>
      </c>
    </row>
    <row r="178" spans="1:8" x14ac:dyDescent="0.25">
      <c r="A178" s="3">
        <v>176</v>
      </c>
      <c r="B178" s="3" t="s">
        <v>182</v>
      </c>
      <c r="C178" s="3">
        <v>1.1003000000000001</v>
      </c>
      <c r="D178" s="3">
        <v>0.56179999999999997</v>
      </c>
      <c r="E178" s="3">
        <v>-3.1833999999999998</v>
      </c>
      <c r="F178" s="3">
        <v>-0.62019999999999997</v>
      </c>
      <c r="G178" s="3">
        <v>-0.67600000000000005</v>
      </c>
      <c r="H178" s="3">
        <v>1.6999999999999999E-3</v>
      </c>
    </row>
    <row r="179" spans="1:8" ht="21" x14ac:dyDescent="0.25">
      <c r="A179" s="3">
        <v>177</v>
      </c>
      <c r="B179" s="3" t="s">
        <v>183</v>
      </c>
      <c r="C179" s="3">
        <v>5.5396999999999998</v>
      </c>
      <c r="D179" s="3">
        <v>4.9854000000000003</v>
      </c>
      <c r="E179" s="3">
        <v>7.5704000000000002</v>
      </c>
      <c r="F179" s="3">
        <v>10.767899999999999</v>
      </c>
      <c r="G179" s="3">
        <v>6.2565</v>
      </c>
      <c r="H179" s="3">
        <v>2.1999999999999999E-2</v>
      </c>
    </row>
    <row r="180" spans="1:8" x14ac:dyDescent="0.25">
      <c r="A180" s="3">
        <v>178</v>
      </c>
      <c r="B180" s="3" t="s">
        <v>184</v>
      </c>
      <c r="C180" s="3">
        <v>4.9400000000000004</v>
      </c>
      <c r="D180" s="3">
        <v>5.7226999999999997</v>
      </c>
      <c r="E180" s="3" t="s">
        <v>19</v>
      </c>
      <c r="F180" s="3" t="s">
        <v>19</v>
      </c>
      <c r="G180" s="3" t="s">
        <v>19</v>
      </c>
      <c r="H180" s="3" t="s">
        <v>19</v>
      </c>
    </row>
    <row r="181" spans="1:8" x14ac:dyDescent="0.25">
      <c r="A181" s="3">
        <v>179</v>
      </c>
      <c r="B181" s="3" t="s">
        <v>185</v>
      </c>
      <c r="C181" s="3">
        <v>0.88460000000000005</v>
      </c>
      <c r="D181" s="3">
        <v>1.3472</v>
      </c>
      <c r="E181" s="3">
        <v>4.1018999999999997</v>
      </c>
      <c r="F181" s="3">
        <v>3.1909999999999998</v>
      </c>
      <c r="G181" s="3">
        <v>2.802</v>
      </c>
      <c r="H181" s="3">
        <v>2E-3</v>
      </c>
    </row>
    <row r="182" spans="1:8" x14ac:dyDescent="0.25">
      <c r="A182" s="3">
        <v>180</v>
      </c>
      <c r="B182" s="3" t="s">
        <v>186</v>
      </c>
      <c r="C182" s="3">
        <v>2.2023999999999999</v>
      </c>
      <c r="D182" s="3">
        <v>3.3614999999999999</v>
      </c>
      <c r="E182" s="3">
        <v>3.7195</v>
      </c>
      <c r="F182" s="3">
        <v>6.5430999999999999</v>
      </c>
      <c r="G182" s="3">
        <v>2.7658</v>
      </c>
      <c r="H182" s="3">
        <v>1.2E-2</v>
      </c>
    </row>
    <row r="183" spans="1:8" x14ac:dyDescent="0.25">
      <c r="A183" s="3">
        <v>181</v>
      </c>
      <c r="B183" s="3" t="s">
        <v>187</v>
      </c>
      <c r="C183" s="3">
        <v>1.8863000000000001</v>
      </c>
      <c r="D183" s="3">
        <v>1.7123999999999999</v>
      </c>
      <c r="E183" s="3">
        <v>5.4725999999999999</v>
      </c>
      <c r="F183" s="3">
        <v>3.0043000000000002</v>
      </c>
      <c r="G183" s="3">
        <v>2.9683000000000002</v>
      </c>
      <c r="H183" s="3">
        <v>1.01E-2</v>
      </c>
    </row>
    <row r="184" spans="1:8" x14ac:dyDescent="0.25">
      <c r="A184" s="3">
        <v>182</v>
      </c>
      <c r="B184" s="3" t="s">
        <v>188</v>
      </c>
      <c r="C184" s="3" t="s">
        <v>19</v>
      </c>
      <c r="D184" s="3">
        <v>5.7786999999999997</v>
      </c>
      <c r="E184" s="3">
        <v>7.9131</v>
      </c>
      <c r="F184" s="3">
        <v>11.987</v>
      </c>
      <c r="G184" s="3">
        <v>4.9203999999999999</v>
      </c>
      <c r="H184" s="3">
        <v>1.6400000000000001E-2</v>
      </c>
    </row>
    <row r="185" spans="1:8" x14ac:dyDescent="0.25">
      <c r="A185" s="3">
        <v>183</v>
      </c>
      <c r="B185" s="3" t="s">
        <v>189</v>
      </c>
      <c r="C185" s="3" t="s">
        <v>19</v>
      </c>
      <c r="D185" s="3">
        <v>1.7668999999999999</v>
      </c>
      <c r="E185" s="3" t="s">
        <v>19</v>
      </c>
      <c r="F185" s="3" t="s">
        <v>19</v>
      </c>
      <c r="G185" s="3" t="s">
        <v>19</v>
      </c>
      <c r="H185" s="3">
        <v>6.1000000000000004E-3</v>
      </c>
    </row>
    <row r="186" spans="1:8" x14ac:dyDescent="0.25">
      <c r="A186" s="3">
        <v>184</v>
      </c>
      <c r="B186" s="3" t="s">
        <v>190</v>
      </c>
      <c r="C186" s="3" t="s">
        <v>191</v>
      </c>
      <c r="D186" s="3">
        <v>0.68359999999999999</v>
      </c>
      <c r="E186" s="3">
        <v>-0.70069999999999999</v>
      </c>
      <c r="F186" s="3">
        <v>-3.1505000000000001</v>
      </c>
      <c r="G186" s="3">
        <v>0.26540000000000002</v>
      </c>
      <c r="H186" s="3">
        <v>1.04E-2</v>
      </c>
    </row>
    <row r="187" spans="1:8" x14ac:dyDescent="0.25">
      <c r="A187" s="3">
        <v>185</v>
      </c>
      <c r="B187" s="3" t="s">
        <v>192</v>
      </c>
      <c r="C187" s="3" t="s">
        <v>193</v>
      </c>
      <c r="D187" s="3">
        <v>2.1318000000000001</v>
      </c>
      <c r="E187" s="3">
        <v>0.31940000000000002</v>
      </c>
      <c r="F187" s="3">
        <v>-0.53059999999999996</v>
      </c>
      <c r="G187" s="3">
        <v>-0.18640000000000001</v>
      </c>
      <c r="H187" s="3">
        <v>1.5699999999999999E-2</v>
      </c>
    </row>
    <row r="188" spans="1:8" x14ac:dyDescent="0.25">
      <c r="A188" s="3">
        <v>186</v>
      </c>
      <c r="B188" s="3" t="s">
        <v>194</v>
      </c>
      <c r="C188" s="3">
        <v>1.0954999999999999</v>
      </c>
      <c r="D188" s="3">
        <v>1.6089</v>
      </c>
      <c r="E188" s="3">
        <v>0.10630000000000001</v>
      </c>
      <c r="F188" s="3">
        <v>1.0367</v>
      </c>
      <c r="G188" s="3">
        <v>1.6226</v>
      </c>
      <c r="H188" s="3">
        <v>1.2800000000000001E-2</v>
      </c>
    </row>
    <row r="189" spans="1:8" x14ac:dyDescent="0.25">
      <c r="A189" s="3">
        <v>187</v>
      </c>
      <c r="B189" s="3" t="s">
        <v>195</v>
      </c>
      <c r="C189" s="3">
        <v>1.3468</v>
      </c>
      <c r="D189" s="3" t="s">
        <v>19</v>
      </c>
      <c r="E189" s="3" t="s">
        <v>19</v>
      </c>
      <c r="F189" s="3" t="s">
        <v>19</v>
      </c>
      <c r="G189" s="3" t="s">
        <v>19</v>
      </c>
      <c r="H189" s="3" t="s">
        <v>19</v>
      </c>
    </row>
    <row r="190" spans="1:8" x14ac:dyDescent="0.25">
      <c r="A190" s="3">
        <v>188</v>
      </c>
      <c r="B190" s="3" t="s">
        <v>196</v>
      </c>
      <c r="C190" s="3">
        <v>2.12E-2</v>
      </c>
      <c r="D190" s="3">
        <v>-0.16320000000000001</v>
      </c>
      <c r="E190" s="3" t="s">
        <v>19</v>
      </c>
      <c r="F190" s="3" t="s">
        <v>19</v>
      </c>
      <c r="G190" s="3" t="s">
        <v>19</v>
      </c>
      <c r="H190" s="3" t="s">
        <v>19</v>
      </c>
    </row>
    <row r="191" spans="1:8" x14ac:dyDescent="0.25">
      <c r="A191" s="3">
        <v>189</v>
      </c>
      <c r="B191" s="3" t="s">
        <v>197</v>
      </c>
      <c r="C191" s="3">
        <v>2.9600000000000001E-2</v>
      </c>
      <c r="D191" s="3">
        <v>-0.874</v>
      </c>
      <c r="E191" s="3" t="s">
        <v>19</v>
      </c>
      <c r="F191" s="3" t="s">
        <v>19</v>
      </c>
      <c r="G191" s="3" t="s">
        <v>19</v>
      </c>
      <c r="H191" s="3" t="s">
        <v>19</v>
      </c>
    </row>
    <row r="192" spans="1:8" x14ac:dyDescent="0.25">
      <c r="A192" s="3">
        <v>190</v>
      </c>
      <c r="B192" s="3" t="s">
        <v>198</v>
      </c>
      <c r="C192" s="3">
        <v>-0.34200000000000003</v>
      </c>
      <c r="D192" s="3">
        <v>-1.4431</v>
      </c>
      <c r="E192" s="3" t="s">
        <v>19</v>
      </c>
      <c r="F192" s="3" t="s">
        <v>19</v>
      </c>
      <c r="G192" s="3" t="s">
        <v>19</v>
      </c>
      <c r="H192" s="3">
        <v>2.8299999999999999E-2</v>
      </c>
    </row>
    <row r="193" spans="1:8" x14ac:dyDescent="0.25">
      <c r="A193" s="3">
        <v>191</v>
      </c>
      <c r="B193" s="3" t="s">
        <v>199</v>
      </c>
      <c r="C193" s="3">
        <v>0.93010000000000004</v>
      </c>
      <c r="D193" s="3">
        <v>0.32300000000000001</v>
      </c>
      <c r="E193" s="3" t="s">
        <v>19</v>
      </c>
      <c r="F193" s="3" t="s">
        <v>19</v>
      </c>
      <c r="G193" s="3" t="s">
        <v>19</v>
      </c>
      <c r="H193" s="3" t="s">
        <v>19</v>
      </c>
    </row>
    <row r="194" spans="1:8" x14ac:dyDescent="0.25">
      <c r="A194" s="3">
        <v>192</v>
      </c>
      <c r="B194" s="3" t="s">
        <v>200</v>
      </c>
      <c r="C194" s="3">
        <v>0.28320000000000001</v>
      </c>
      <c r="D194" s="3">
        <v>0.1946</v>
      </c>
      <c r="E194" s="3" t="s">
        <v>19</v>
      </c>
      <c r="F194" s="3" t="s">
        <v>19</v>
      </c>
      <c r="G194" s="3" t="s">
        <v>19</v>
      </c>
      <c r="H194" s="3" t="s">
        <v>19</v>
      </c>
    </row>
    <row r="195" spans="1:8" x14ac:dyDescent="0.25">
      <c r="A195" s="3">
        <v>193</v>
      </c>
      <c r="B195" s="3" t="s">
        <v>201</v>
      </c>
      <c r="C195" s="3">
        <v>-0.44679999999999997</v>
      </c>
      <c r="D195" s="3">
        <v>0.69389999999999996</v>
      </c>
      <c r="E195" s="3" t="s">
        <v>19</v>
      </c>
      <c r="F195" s="3" t="s">
        <v>19</v>
      </c>
      <c r="G195" s="3" t="s">
        <v>19</v>
      </c>
      <c r="H195" s="3">
        <v>2.2100000000000002E-2</v>
      </c>
    </row>
    <row r="196" spans="1:8" x14ac:dyDescent="0.25">
      <c r="A196" s="3">
        <v>194</v>
      </c>
      <c r="B196" s="3" t="s">
        <v>202</v>
      </c>
      <c r="C196" s="3" t="s">
        <v>19</v>
      </c>
      <c r="D196" s="3" t="s">
        <v>19</v>
      </c>
      <c r="E196" s="3" t="s">
        <v>19</v>
      </c>
      <c r="F196" s="3" t="s">
        <v>19</v>
      </c>
      <c r="G196" s="3" t="s">
        <v>19</v>
      </c>
      <c r="H196" s="3" t="s">
        <v>19</v>
      </c>
    </row>
    <row r="197" spans="1:8" x14ac:dyDescent="0.25">
      <c r="A197" s="3">
        <v>195</v>
      </c>
      <c r="B197" s="3" t="s">
        <v>203</v>
      </c>
      <c r="C197" s="3" t="s">
        <v>19</v>
      </c>
      <c r="D197" s="3">
        <v>-1.601</v>
      </c>
      <c r="E197" s="3">
        <v>7.7649999999999997</v>
      </c>
      <c r="F197" s="3">
        <v>8.1102000000000007</v>
      </c>
      <c r="G197" s="3">
        <v>8.7798999999999996</v>
      </c>
      <c r="H197" s="3" t="s">
        <v>19</v>
      </c>
    </row>
    <row r="198" spans="1:8" x14ac:dyDescent="0.25">
      <c r="A198" s="3">
        <v>196</v>
      </c>
      <c r="B198" s="3" t="s">
        <v>204</v>
      </c>
      <c r="C198" s="3">
        <v>1.2598</v>
      </c>
      <c r="D198" s="3">
        <v>0.7097</v>
      </c>
      <c r="E198" s="3" t="s">
        <v>19</v>
      </c>
      <c r="F198" s="3" t="s">
        <v>19</v>
      </c>
      <c r="G198" s="3" t="s">
        <v>19</v>
      </c>
      <c r="H198" s="3">
        <v>3.6900000000000002E-2</v>
      </c>
    </row>
    <row r="199" spans="1:8" x14ac:dyDescent="0.25">
      <c r="A199" s="3">
        <v>197</v>
      </c>
      <c r="B199" s="3" t="s">
        <v>205</v>
      </c>
      <c r="C199" s="3">
        <v>0.91200000000000003</v>
      </c>
      <c r="D199" s="3">
        <v>0.1177</v>
      </c>
      <c r="E199" s="3" t="s">
        <v>19</v>
      </c>
      <c r="F199" s="3" t="s">
        <v>19</v>
      </c>
      <c r="G199" s="3" t="s">
        <v>19</v>
      </c>
      <c r="H199" s="3">
        <v>2.69E-2</v>
      </c>
    </row>
    <row r="200" spans="1:8" x14ac:dyDescent="0.25">
      <c r="A200" s="3">
        <v>198</v>
      </c>
      <c r="B200" s="3" t="s">
        <v>206</v>
      </c>
      <c r="C200" s="3" t="s">
        <v>19</v>
      </c>
      <c r="D200" s="3" t="s">
        <v>19</v>
      </c>
      <c r="E200" s="3" t="s">
        <v>19</v>
      </c>
      <c r="F200" s="3" t="s">
        <v>19</v>
      </c>
      <c r="G200" s="3" t="s">
        <v>19</v>
      </c>
      <c r="H200" s="3" t="s">
        <v>19</v>
      </c>
    </row>
    <row r="201" spans="1:8" x14ac:dyDescent="0.25">
      <c r="A201" s="3">
        <v>199</v>
      </c>
      <c r="B201" s="3" t="s">
        <v>207</v>
      </c>
      <c r="C201" s="3">
        <v>3.0537999999999998</v>
      </c>
      <c r="D201" s="3">
        <v>1.653</v>
      </c>
      <c r="E201" s="3">
        <v>11.1114</v>
      </c>
      <c r="F201" s="3">
        <v>11.1997</v>
      </c>
      <c r="G201" s="3">
        <v>1.6523000000000001</v>
      </c>
      <c r="H201" s="3">
        <v>2.58E-2</v>
      </c>
    </row>
    <row r="202" spans="1:8" x14ac:dyDescent="0.25">
      <c r="A202" s="3">
        <v>200</v>
      </c>
      <c r="B202" s="3" t="s">
        <v>208</v>
      </c>
      <c r="C202" s="3">
        <v>0.42659999999999998</v>
      </c>
      <c r="D202" s="3">
        <v>0.19650000000000001</v>
      </c>
      <c r="E202" s="3">
        <v>-13.720800000000001</v>
      </c>
      <c r="F202" s="3">
        <v>-4.6294000000000004</v>
      </c>
      <c r="G202" s="3">
        <v>-5.0267999999999997</v>
      </c>
      <c r="H202" s="3">
        <v>-5.9999999999999995E-4</v>
      </c>
    </row>
    <row r="203" spans="1:8" x14ac:dyDescent="0.25">
      <c r="A203" s="3">
        <v>201</v>
      </c>
      <c r="B203" s="3" t="s">
        <v>209</v>
      </c>
      <c r="C203" s="3" t="s">
        <v>19</v>
      </c>
      <c r="D203" s="3">
        <v>4.2168999999999999</v>
      </c>
      <c r="E203" s="3">
        <v>-6.8354999999999997</v>
      </c>
      <c r="F203" s="3">
        <v>2.2530000000000001</v>
      </c>
      <c r="G203" s="3">
        <v>-5.2534999999999998</v>
      </c>
      <c r="H203" s="3">
        <v>8.8999999999999999E-3</v>
      </c>
    </row>
    <row r="204" spans="1:8" x14ac:dyDescent="0.25">
      <c r="A204" s="3">
        <v>202</v>
      </c>
      <c r="B204" s="3" t="s">
        <v>203</v>
      </c>
      <c r="C204" s="3" t="s">
        <v>19</v>
      </c>
      <c r="D204" s="3">
        <v>0.24879999999999999</v>
      </c>
      <c r="E204" s="3" t="s">
        <v>19</v>
      </c>
      <c r="F204" s="3" t="s">
        <v>19</v>
      </c>
      <c r="G204" s="3" t="s">
        <v>19</v>
      </c>
      <c r="H204" s="3">
        <v>3.8699999999999998E-2</v>
      </c>
    </row>
    <row r="205" spans="1:8" x14ac:dyDescent="0.25">
      <c r="A205" s="3">
        <v>203</v>
      </c>
      <c r="B205" s="3" t="s">
        <v>210</v>
      </c>
      <c r="C205" s="3" t="s">
        <v>19</v>
      </c>
      <c r="D205" s="3">
        <v>3.8635000000000002</v>
      </c>
      <c r="E205" s="3" t="s">
        <v>19</v>
      </c>
      <c r="F205" s="3" t="s">
        <v>19</v>
      </c>
      <c r="G205" s="3" t="s">
        <v>19</v>
      </c>
      <c r="H205" s="3">
        <v>5.3499999999999999E-2</v>
      </c>
    </row>
    <row r="206" spans="1:8" x14ac:dyDescent="0.25">
      <c r="A206" s="3">
        <v>204</v>
      </c>
      <c r="B206" s="3" t="s">
        <v>211</v>
      </c>
      <c r="C206" s="3" t="s">
        <v>19</v>
      </c>
      <c r="D206" s="3">
        <v>2.7978999999999998</v>
      </c>
      <c r="E206" s="3">
        <v>1.3419000000000001</v>
      </c>
      <c r="F206" s="3">
        <v>7.7241999999999997</v>
      </c>
      <c r="G206" s="3">
        <v>2.2395</v>
      </c>
      <c r="H206" s="3">
        <v>1.9699999999999999E-2</v>
      </c>
    </row>
    <row r="207" spans="1:8" x14ac:dyDescent="0.25">
      <c r="A207" s="3">
        <v>205</v>
      </c>
      <c r="B207" s="3" t="s">
        <v>212</v>
      </c>
      <c r="C207" s="3" t="s">
        <v>19</v>
      </c>
      <c r="D207" s="3">
        <v>8.9197000000000006</v>
      </c>
      <c r="E207" s="3" t="s">
        <v>19</v>
      </c>
      <c r="F207" s="3" t="s">
        <v>19</v>
      </c>
      <c r="G207" s="3" t="s">
        <v>19</v>
      </c>
      <c r="H207" s="3" t="s">
        <v>19</v>
      </c>
    </row>
    <row r="208" spans="1:8" x14ac:dyDescent="0.25">
      <c r="A208" s="3">
        <v>206</v>
      </c>
      <c r="B208" s="3" t="s">
        <v>213</v>
      </c>
      <c r="C208" s="3" t="s">
        <v>19</v>
      </c>
      <c r="D208" s="3">
        <v>4.6063000000000001</v>
      </c>
      <c r="E208" s="3" t="s">
        <v>19</v>
      </c>
      <c r="F208" s="3" t="s">
        <v>19</v>
      </c>
      <c r="G208" s="3" t="s">
        <v>19</v>
      </c>
      <c r="H208" s="3" t="s">
        <v>19</v>
      </c>
    </row>
    <row r="209" spans="1:8" x14ac:dyDescent="0.25">
      <c r="A209" s="3">
        <v>207</v>
      </c>
      <c r="B209" s="3" t="s">
        <v>214</v>
      </c>
      <c r="C209" s="3" t="s">
        <v>19</v>
      </c>
      <c r="D209" s="3">
        <v>1.7679</v>
      </c>
      <c r="E209" s="3" t="s">
        <v>19</v>
      </c>
      <c r="F209" s="3" t="s">
        <v>19</v>
      </c>
      <c r="G209" s="3" t="s">
        <v>19</v>
      </c>
      <c r="H209" s="3" t="s">
        <v>19</v>
      </c>
    </row>
    <row r="210" spans="1:8" x14ac:dyDescent="0.25">
      <c r="A210" s="3">
        <v>208</v>
      </c>
      <c r="B210" s="3" t="e">
        <f>-_xleta.NA</f>
        <v>#VALUE!</v>
      </c>
      <c r="C210" s="3" t="s">
        <v>19</v>
      </c>
      <c r="D210" s="3" t="s">
        <v>19</v>
      </c>
      <c r="E210" s="3" t="s">
        <v>19</v>
      </c>
      <c r="F210" s="3" t="s">
        <v>19</v>
      </c>
      <c r="G210" s="3" t="s">
        <v>19</v>
      </c>
      <c r="H210" s="3" t="s">
        <v>19</v>
      </c>
    </row>
    <row r="211" spans="1:8" x14ac:dyDescent="0.25">
      <c r="A211" s="3">
        <v>209</v>
      </c>
      <c r="B211" s="3" t="s">
        <v>215</v>
      </c>
      <c r="C211" s="3" t="s">
        <v>19</v>
      </c>
      <c r="D211" s="3" t="s">
        <v>19</v>
      </c>
      <c r="E211" s="3" t="s">
        <v>19</v>
      </c>
      <c r="F211" s="3" t="s">
        <v>19</v>
      </c>
      <c r="G211" s="3" t="s">
        <v>19</v>
      </c>
      <c r="H211" s="3" t="s">
        <v>19</v>
      </c>
    </row>
    <row r="212" spans="1:8" x14ac:dyDescent="0.25">
      <c r="A212" s="3">
        <v>210</v>
      </c>
      <c r="B212" s="3" t="s">
        <v>216</v>
      </c>
      <c r="C212" s="3" t="s">
        <v>19</v>
      </c>
      <c r="D212" s="3">
        <v>9.8261000000000003</v>
      </c>
      <c r="E212" s="3">
        <v>9.8017000000000003</v>
      </c>
      <c r="F212" s="3">
        <v>16.496300000000002</v>
      </c>
      <c r="G212" s="3">
        <v>13.689500000000001</v>
      </c>
      <c r="H212" s="3">
        <v>1.9400000000000001E-2</v>
      </c>
    </row>
    <row r="213" spans="1:8" x14ac:dyDescent="0.25">
      <c r="A213" s="3">
        <v>211</v>
      </c>
      <c r="B213" s="3" t="s">
        <v>217</v>
      </c>
      <c r="C213" s="3" t="s">
        <v>19</v>
      </c>
      <c r="D213" s="3">
        <v>0.83530000000000004</v>
      </c>
      <c r="E213" s="3" t="s">
        <v>19</v>
      </c>
      <c r="F213" s="3" t="s">
        <v>19</v>
      </c>
      <c r="G213" s="3" t="s">
        <v>19</v>
      </c>
      <c r="H213" s="3" t="s">
        <v>19</v>
      </c>
    </row>
    <row r="214" spans="1:8" x14ac:dyDescent="0.25">
      <c r="A214" s="3">
        <v>212</v>
      </c>
      <c r="B214" s="3" t="s">
        <v>218</v>
      </c>
      <c r="C214" s="3" t="s">
        <v>19</v>
      </c>
      <c r="D214" s="3" t="s">
        <v>19</v>
      </c>
      <c r="E214" s="3" t="s">
        <v>19</v>
      </c>
      <c r="F214" s="3" t="s">
        <v>19</v>
      </c>
      <c r="G214" s="3" t="s">
        <v>19</v>
      </c>
      <c r="H214" s="3" t="s">
        <v>19</v>
      </c>
    </row>
    <row r="215" spans="1:8" x14ac:dyDescent="0.25">
      <c r="A215" s="3">
        <v>213</v>
      </c>
      <c r="B215" s="3" t="s">
        <v>219</v>
      </c>
      <c r="C215" s="3" t="s">
        <v>19</v>
      </c>
      <c r="D215" s="3" t="s">
        <v>19</v>
      </c>
      <c r="E215" s="3" t="s">
        <v>19</v>
      </c>
      <c r="F215" s="3" t="s">
        <v>19</v>
      </c>
      <c r="G215" s="3" t="s">
        <v>19</v>
      </c>
      <c r="H215" s="3" t="s">
        <v>19</v>
      </c>
    </row>
    <row r="216" spans="1:8" x14ac:dyDescent="0.25">
      <c r="A216" s="3">
        <v>214</v>
      </c>
      <c r="B216" s="3" t="s">
        <v>220</v>
      </c>
      <c r="C216" s="3" t="s">
        <v>19</v>
      </c>
      <c r="D216" s="3" t="s">
        <v>19</v>
      </c>
      <c r="E216" s="3" t="s">
        <v>19</v>
      </c>
      <c r="F216" s="3" t="s">
        <v>19</v>
      </c>
      <c r="G216" s="3" t="s">
        <v>19</v>
      </c>
      <c r="H216" s="3" t="s">
        <v>19</v>
      </c>
    </row>
    <row r="217" spans="1:8" x14ac:dyDescent="0.25">
      <c r="A217" s="3">
        <v>215</v>
      </c>
      <c r="B217" s="3" t="s">
        <v>221</v>
      </c>
      <c r="C217" s="3" t="s">
        <v>19</v>
      </c>
      <c r="D217" s="3" t="s">
        <v>19</v>
      </c>
      <c r="E217" s="3" t="s">
        <v>19</v>
      </c>
      <c r="F217" s="3" t="s">
        <v>19</v>
      </c>
      <c r="G217" s="3" t="s">
        <v>19</v>
      </c>
      <c r="H217" s="3">
        <v>3.5200000000000002E-2</v>
      </c>
    </row>
    <row r="218" spans="1:8" x14ac:dyDescent="0.25">
      <c r="A218" s="3">
        <v>216</v>
      </c>
      <c r="B218" s="3" t="s">
        <v>222</v>
      </c>
      <c r="C218" s="3" t="s">
        <v>19</v>
      </c>
      <c r="D218" s="3" t="s">
        <v>19</v>
      </c>
      <c r="E218" s="3" t="s">
        <v>19</v>
      </c>
      <c r="F218" s="3" t="s">
        <v>19</v>
      </c>
      <c r="G218" s="3" t="s">
        <v>19</v>
      </c>
      <c r="H218" s="3" t="s">
        <v>19</v>
      </c>
    </row>
    <row r="219" spans="1:8" x14ac:dyDescent="0.25">
      <c r="A219" s="3">
        <v>217</v>
      </c>
      <c r="B219" s="3" t="s">
        <v>223</v>
      </c>
      <c r="C219" s="3" t="s">
        <v>19</v>
      </c>
      <c r="D219" s="3" t="s">
        <v>19</v>
      </c>
      <c r="E219" s="3" t="s">
        <v>19</v>
      </c>
      <c r="F219" s="3" t="s">
        <v>19</v>
      </c>
      <c r="G219" s="3" t="s">
        <v>19</v>
      </c>
      <c r="H219" s="3" t="s">
        <v>19</v>
      </c>
    </row>
    <row r="220" spans="1:8" x14ac:dyDescent="0.25">
      <c r="A220" s="3">
        <v>218</v>
      </c>
      <c r="B220" s="3" t="s">
        <v>224</v>
      </c>
      <c r="C220" s="3" t="s">
        <v>19</v>
      </c>
      <c r="D220" s="3" t="s">
        <v>19</v>
      </c>
      <c r="E220" s="3" t="s">
        <v>19</v>
      </c>
      <c r="F220" s="3" t="s">
        <v>19</v>
      </c>
      <c r="G220" s="3" t="s">
        <v>19</v>
      </c>
      <c r="H220" s="3" t="s">
        <v>19</v>
      </c>
    </row>
    <row r="221" spans="1:8" x14ac:dyDescent="0.25">
      <c r="A221" s="3">
        <v>219</v>
      </c>
      <c r="B221" s="3" t="s">
        <v>225</v>
      </c>
      <c r="C221" s="3">
        <v>0.51170000000000004</v>
      </c>
      <c r="D221" s="3">
        <v>0.87270000000000003</v>
      </c>
      <c r="E221" s="3">
        <v>2.0667</v>
      </c>
      <c r="F221" s="3" t="s">
        <v>19</v>
      </c>
      <c r="G221" s="3" t="s">
        <v>19</v>
      </c>
      <c r="H221" s="3">
        <v>2.9399999999999999E-2</v>
      </c>
    </row>
    <row r="222" spans="1:8" ht="15.75" thickBot="1" x14ac:dyDescent="0.3">
      <c r="A222" s="4">
        <v>220</v>
      </c>
      <c r="B222" s="4" t="s">
        <v>226</v>
      </c>
      <c r="C222" s="4">
        <v>0.4264</v>
      </c>
      <c r="D222" s="4">
        <v>-0.86409999999999998</v>
      </c>
      <c r="E222" s="4">
        <v>-5.7462</v>
      </c>
      <c r="F222" s="4" t="s">
        <v>19</v>
      </c>
      <c r="G222" s="4" t="s">
        <v>19</v>
      </c>
      <c r="H222" s="4">
        <v>1.21E-2</v>
      </c>
    </row>
  </sheetData>
  <mergeCells count="5">
    <mergeCell ref="H150:H151"/>
    <mergeCell ref="D150:D151"/>
    <mergeCell ref="A150:A151"/>
    <mergeCell ref="B150:B151"/>
    <mergeCell ref="C150:C15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7FAC-2A06-4FBA-9756-14734AAF0B6B}">
  <dimension ref="A1:O98"/>
  <sheetViews>
    <sheetView topLeftCell="A52" workbookViewId="0">
      <selection activeCell="D20" sqref="D20"/>
    </sheetView>
  </sheetViews>
  <sheetFormatPr defaultRowHeight="15" x14ac:dyDescent="0.25"/>
  <cols>
    <col min="3" max="3" width="28.42578125" style="7" customWidth="1"/>
    <col min="4" max="4" width="11.7109375" customWidth="1"/>
  </cols>
  <sheetData>
    <row r="1" spans="1:11" x14ac:dyDescent="0.25">
      <c r="A1" s="5" t="s">
        <v>227</v>
      </c>
      <c r="B1" s="6" t="s">
        <v>228</v>
      </c>
      <c r="C1" s="8" t="s">
        <v>0</v>
      </c>
      <c r="D1" s="9" t="s">
        <v>229</v>
      </c>
      <c r="E1" s="9" t="s">
        <v>230</v>
      </c>
      <c r="F1" s="5" t="s">
        <v>231</v>
      </c>
      <c r="G1" s="5" t="s">
        <v>232</v>
      </c>
      <c r="H1" s="5" t="s">
        <v>233</v>
      </c>
      <c r="I1" s="5" t="s">
        <v>234</v>
      </c>
      <c r="J1" s="5" t="s">
        <v>235</v>
      </c>
      <c r="K1" s="5" t="s">
        <v>236</v>
      </c>
    </row>
    <row r="2" spans="1:11" x14ac:dyDescent="0.25">
      <c r="A2" s="12">
        <v>1</v>
      </c>
      <c r="B2" s="12">
        <v>1</v>
      </c>
      <c r="C2" s="12" t="s">
        <v>237</v>
      </c>
      <c r="D2" s="12" t="s">
        <v>238</v>
      </c>
      <c r="E2" s="12">
        <v>1</v>
      </c>
      <c r="F2" s="12">
        <v>0.92179999999999995</v>
      </c>
      <c r="G2" s="12">
        <v>0.75549999999999995</v>
      </c>
      <c r="H2" s="12">
        <v>7.5983000000000001</v>
      </c>
      <c r="I2" s="12">
        <v>2.3037000000000001</v>
      </c>
      <c r="J2" s="12">
        <v>2.2105000000000001</v>
      </c>
      <c r="K2" s="12">
        <v>2.3800000000000002E-2</v>
      </c>
    </row>
    <row r="3" spans="1:11" x14ac:dyDescent="0.25">
      <c r="A3" s="12">
        <v>2</v>
      </c>
      <c r="B3" s="12">
        <v>2</v>
      </c>
      <c r="C3" s="12" t="s">
        <v>239</v>
      </c>
      <c r="D3" s="12" t="s">
        <v>238</v>
      </c>
      <c r="E3" s="12">
        <v>2</v>
      </c>
      <c r="F3" s="12">
        <v>0.57799999999999996</v>
      </c>
      <c r="G3" s="12">
        <v>0.29659999999999997</v>
      </c>
      <c r="H3" s="12">
        <v>-2.3E-3</v>
      </c>
      <c r="I3" s="12">
        <v>-0.16639999999999999</v>
      </c>
      <c r="J3" s="12">
        <v>-0.215</v>
      </c>
      <c r="K3" s="12">
        <v>1.66E-2</v>
      </c>
    </row>
    <row r="4" spans="1:11" x14ac:dyDescent="0.25">
      <c r="A4" s="12">
        <v>3</v>
      </c>
      <c r="B4" s="12">
        <v>3</v>
      </c>
      <c r="C4" s="12" t="s">
        <v>9</v>
      </c>
      <c r="D4" s="12" t="s">
        <v>238</v>
      </c>
      <c r="E4" s="12">
        <v>3</v>
      </c>
      <c r="F4" s="12">
        <v>-0.11890000000000001</v>
      </c>
      <c r="G4" s="12">
        <v>-0.59599999999999997</v>
      </c>
      <c r="H4" s="12">
        <v>-7.5389999999999997</v>
      </c>
      <c r="I4" s="12">
        <v>-3.3851</v>
      </c>
      <c r="J4" s="12">
        <v>-2.6825999999999999</v>
      </c>
      <c r="K4" s="12">
        <v>8.3999999999999995E-3</v>
      </c>
    </row>
    <row r="5" spans="1:11" x14ac:dyDescent="0.25">
      <c r="A5" s="12">
        <v>4</v>
      </c>
      <c r="B5" s="12">
        <v>4</v>
      </c>
      <c r="C5" s="12" t="s">
        <v>10</v>
      </c>
      <c r="D5" s="12" t="s">
        <v>238</v>
      </c>
      <c r="E5" s="12">
        <v>4</v>
      </c>
      <c r="F5" s="12">
        <v>-0.64949999999999997</v>
      </c>
      <c r="G5" s="12">
        <v>-0.3679</v>
      </c>
      <c r="H5" s="12">
        <v>-15.6455</v>
      </c>
      <c r="I5" s="12">
        <v>-5.1978999999999997</v>
      </c>
      <c r="J5" s="12">
        <v>-6.4821</v>
      </c>
      <c r="K5" s="12">
        <v>-1.5E-3</v>
      </c>
    </row>
    <row r="6" spans="1:11" x14ac:dyDescent="0.25">
      <c r="A6">
        <v>5</v>
      </c>
      <c r="B6">
        <v>5</v>
      </c>
      <c r="C6" s="7" t="s">
        <v>240</v>
      </c>
      <c r="D6" t="s">
        <v>241</v>
      </c>
      <c r="E6">
        <v>1</v>
      </c>
      <c r="F6">
        <v>1.4953000000000001</v>
      </c>
      <c r="G6">
        <v>1.0429999999999999</v>
      </c>
      <c r="H6">
        <v>7.7504</v>
      </c>
      <c r="I6">
        <v>3.6751999999999998</v>
      </c>
      <c r="J6">
        <v>2.7673000000000001</v>
      </c>
      <c r="K6">
        <v>3.3300000000000003E-2</v>
      </c>
    </row>
    <row r="7" spans="1:11" x14ac:dyDescent="0.25">
      <c r="A7">
        <v>6</v>
      </c>
      <c r="B7">
        <v>6</v>
      </c>
      <c r="C7" s="7" t="s">
        <v>12</v>
      </c>
      <c r="D7" t="s">
        <v>241</v>
      </c>
      <c r="E7">
        <v>2</v>
      </c>
      <c r="F7">
        <v>1.2000999999999999</v>
      </c>
      <c r="G7">
        <v>0.66</v>
      </c>
      <c r="H7">
        <v>0.4284</v>
      </c>
      <c r="I7">
        <v>3.0491999999999999</v>
      </c>
      <c r="J7">
        <v>0.86309999999999998</v>
      </c>
      <c r="K7">
        <v>2.4400000000000002E-2</v>
      </c>
    </row>
    <row r="8" spans="1:11" x14ac:dyDescent="0.25">
      <c r="A8">
        <v>7</v>
      </c>
      <c r="B8">
        <v>7</v>
      </c>
      <c r="C8" s="7" t="s">
        <v>242</v>
      </c>
      <c r="D8" t="s">
        <v>241</v>
      </c>
      <c r="E8">
        <v>2</v>
      </c>
      <c r="F8">
        <v>1.0307999999999999</v>
      </c>
      <c r="G8">
        <v>0.3327</v>
      </c>
      <c r="H8">
        <v>0.1956</v>
      </c>
      <c r="I8">
        <v>2.3058999999999998</v>
      </c>
      <c r="J8">
        <v>1.0623</v>
      </c>
      <c r="K8">
        <v>2.3E-2</v>
      </c>
    </row>
    <row r="9" spans="1:11" x14ac:dyDescent="0.25">
      <c r="A9">
        <v>8</v>
      </c>
      <c r="B9">
        <v>8</v>
      </c>
      <c r="C9" s="7" t="s">
        <v>14</v>
      </c>
      <c r="D9" t="s">
        <v>241</v>
      </c>
      <c r="E9">
        <v>3</v>
      </c>
      <c r="F9">
        <v>0.76459999999999995</v>
      </c>
      <c r="G9">
        <v>-0.39439999999999997</v>
      </c>
      <c r="H9">
        <v>-7.0086000000000004</v>
      </c>
      <c r="I9">
        <v>1.2789999999999999</v>
      </c>
      <c r="J9">
        <v>-0.12039999999999999</v>
      </c>
      <c r="K9">
        <v>1.0800000000000001E-2</v>
      </c>
    </row>
    <row r="10" spans="1:11" x14ac:dyDescent="0.25">
      <c r="A10">
        <v>9</v>
      </c>
      <c r="B10">
        <v>9</v>
      </c>
      <c r="C10" s="7" t="s">
        <v>15</v>
      </c>
      <c r="D10" t="s">
        <v>241</v>
      </c>
      <c r="E10">
        <v>4</v>
      </c>
      <c r="F10">
        <v>0.40799999999999997</v>
      </c>
      <c r="G10">
        <v>-0.98260000000000003</v>
      </c>
      <c r="H10">
        <v>-14.616</v>
      </c>
      <c r="I10">
        <v>-1.4590000000000001</v>
      </c>
      <c r="J10">
        <v>-2.9994999999999998</v>
      </c>
      <c r="K10">
        <v>-2.0999999999999999E-3</v>
      </c>
    </row>
    <row r="11" spans="1:11" x14ac:dyDescent="0.25">
      <c r="A11">
        <v>10</v>
      </c>
      <c r="B11">
        <v>10</v>
      </c>
      <c r="C11" s="7" t="s">
        <v>243</v>
      </c>
      <c r="D11" t="s">
        <v>241</v>
      </c>
      <c r="E11">
        <v>1</v>
      </c>
      <c r="F11">
        <v>2.1764000000000001</v>
      </c>
      <c r="G11">
        <v>1.6865000000000001</v>
      </c>
      <c r="H11">
        <v>7.7662000000000004</v>
      </c>
      <c r="I11">
        <v>2.2909999999999999</v>
      </c>
      <c r="J11">
        <v>3.6732999999999998</v>
      </c>
      <c r="K11">
        <v>4.3099999999999999E-2</v>
      </c>
    </row>
    <row r="12" spans="1:11" x14ac:dyDescent="0.25">
      <c r="A12">
        <v>11</v>
      </c>
      <c r="B12">
        <v>11</v>
      </c>
      <c r="C12" s="7" t="s">
        <v>244</v>
      </c>
      <c r="D12" t="s">
        <v>241</v>
      </c>
      <c r="E12">
        <v>2</v>
      </c>
      <c r="F12">
        <v>1.7103999999999999</v>
      </c>
      <c r="G12">
        <v>1.5154000000000001</v>
      </c>
      <c r="H12">
        <v>-9.6500000000000002E-2</v>
      </c>
      <c r="I12">
        <v>-2.1074999999999999</v>
      </c>
      <c r="J12">
        <v>7.9100000000000004E-2</v>
      </c>
      <c r="K12">
        <v>3.6499999999999998E-2</v>
      </c>
    </row>
    <row r="13" spans="1:11" x14ac:dyDescent="0.25">
      <c r="A13" s="12">
        <v>15</v>
      </c>
      <c r="B13" s="12">
        <v>14</v>
      </c>
      <c r="C13" s="12" t="s">
        <v>22</v>
      </c>
      <c r="D13" s="12" t="s">
        <v>245</v>
      </c>
      <c r="E13" s="12">
        <v>2</v>
      </c>
      <c r="F13" s="12">
        <v>0.73319999999999996</v>
      </c>
      <c r="G13" s="12">
        <v>0.63170000000000004</v>
      </c>
      <c r="H13" s="12">
        <v>3.1133000000000002</v>
      </c>
      <c r="I13" s="12">
        <v>0.91900000000000004</v>
      </c>
      <c r="J13" s="12">
        <v>0.76939999999999997</v>
      </c>
      <c r="K13" s="12">
        <v>1.2E-2</v>
      </c>
    </row>
    <row r="14" spans="1:11" x14ac:dyDescent="0.25">
      <c r="A14" s="10">
        <v>16</v>
      </c>
      <c r="B14" s="10">
        <v>15</v>
      </c>
      <c r="C14" s="10" t="s">
        <v>23</v>
      </c>
      <c r="D14" s="10" t="s">
        <v>245</v>
      </c>
      <c r="E14" s="10"/>
      <c r="F14" s="10">
        <v>1.2531000000000001</v>
      </c>
      <c r="G14" s="10">
        <v>2.0941999999999998</v>
      </c>
      <c r="H14" s="10">
        <v>-3.0510000000000002</v>
      </c>
      <c r="I14" s="10">
        <v>-1.1298999999999999</v>
      </c>
      <c r="J14" s="10">
        <v>-2.7568999999999999</v>
      </c>
      <c r="K14" s="10">
        <v>4.5999999999999999E-3</v>
      </c>
    </row>
    <row r="15" spans="1:11" x14ac:dyDescent="0.25">
      <c r="A15" s="10">
        <v>17</v>
      </c>
      <c r="B15" s="10">
        <v>16</v>
      </c>
      <c r="C15" s="10" t="s">
        <v>24</v>
      </c>
      <c r="D15" s="10" t="s">
        <v>246</v>
      </c>
      <c r="E15" s="10"/>
      <c r="F15" s="10">
        <v>1.1611</v>
      </c>
      <c r="G15" s="10">
        <v>1.6734</v>
      </c>
      <c r="H15" s="10">
        <v>-4.4881000000000002</v>
      </c>
      <c r="I15" s="10">
        <v>-0.35539999999999999</v>
      </c>
      <c r="J15" s="10">
        <v>-2.6898</v>
      </c>
      <c r="K15" s="10">
        <v>3.5000000000000001E-3</v>
      </c>
    </row>
    <row r="16" spans="1:11" x14ac:dyDescent="0.25">
      <c r="A16" s="10">
        <v>18</v>
      </c>
      <c r="B16" s="10">
        <v>17</v>
      </c>
      <c r="C16" s="10" t="s">
        <v>25</v>
      </c>
      <c r="D16" s="10"/>
      <c r="E16" s="10"/>
      <c r="F16" s="10">
        <v>0.83169999999999999</v>
      </c>
      <c r="G16" s="10">
        <v>0.95099999999999996</v>
      </c>
      <c r="H16" s="10">
        <v>-6.6776999999999997</v>
      </c>
      <c r="I16" s="10">
        <v>-3.0945999999999998</v>
      </c>
      <c r="J16" s="10">
        <v>-1.4992000000000001</v>
      </c>
      <c r="K16" s="10">
        <v>7.1000000000000004E-3</v>
      </c>
    </row>
    <row r="17" spans="1:15" x14ac:dyDescent="0.25">
      <c r="A17" s="12">
        <v>19</v>
      </c>
      <c r="B17" s="12">
        <v>18</v>
      </c>
      <c r="C17" s="12" t="s">
        <v>26</v>
      </c>
      <c r="D17" s="12" t="s">
        <v>245</v>
      </c>
      <c r="E17" s="12">
        <v>2</v>
      </c>
      <c r="F17" s="12">
        <v>1.0507</v>
      </c>
      <c r="G17" s="12">
        <v>2.0185</v>
      </c>
      <c r="H17" s="12">
        <v>3.4095</v>
      </c>
      <c r="I17" s="12">
        <v>5.9009999999999998</v>
      </c>
      <c r="J17" s="12">
        <v>3.9266000000000001</v>
      </c>
      <c r="K17" s="12">
        <v>5.1999999999999998E-3</v>
      </c>
    </row>
    <row r="18" spans="1:15" x14ac:dyDescent="0.25">
      <c r="A18" s="12">
        <v>20</v>
      </c>
      <c r="B18" s="12">
        <v>19</v>
      </c>
      <c r="C18" s="12" t="s">
        <v>247</v>
      </c>
      <c r="D18" s="12" t="s">
        <v>245</v>
      </c>
      <c r="E18" s="12">
        <v>2</v>
      </c>
      <c r="F18" s="12">
        <v>1.2616000000000001</v>
      </c>
      <c r="G18" s="12">
        <v>1.1154999999999999</v>
      </c>
      <c r="H18" s="12">
        <v>3.0811000000000002</v>
      </c>
      <c r="I18" s="12">
        <v>-1.1846000000000001</v>
      </c>
      <c r="J18" s="12">
        <v>0.17130000000000001</v>
      </c>
      <c r="K18" s="12">
        <v>3.0200000000000001E-2</v>
      </c>
    </row>
    <row r="19" spans="1:15" x14ac:dyDescent="0.25">
      <c r="A19" s="14">
        <v>21</v>
      </c>
      <c r="B19" s="14">
        <v>20</v>
      </c>
      <c r="C19" s="14" t="s">
        <v>248</v>
      </c>
      <c r="D19" s="14" t="s">
        <v>245</v>
      </c>
      <c r="E19" s="14">
        <v>3</v>
      </c>
      <c r="F19" s="14">
        <v>0.85299999999999998</v>
      </c>
      <c r="G19" s="14">
        <v>-0.19220000000000001</v>
      </c>
      <c r="H19" s="14">
        <v>-5.0406000000000004</v>
      </c>
      <c r="I19" s="14">
        <v>-4.1989999999999998</v>
      </c>
      <c r="J19" s="14">
        <v>-3.1804999999999999</v>
      </c>
      <c r="K19" s="14">
        <v>2.29E-2</v>
      </c>
    </row>
    <row r="20" spans="1:15" x14ac:dyDescent="0.25">
      <c r="A20">
        <v>22</v>
      </c>
      <c r="B20">
        <v>21</v>
      </c>
      <c r="C20" s="7" t="s">
        <v>29</v>
      </c>
      <c r="D20" t="s">
        <v>245</v>
      </c>
      <c r="E20">
        <v>4</v>
      </c>
      <c r="F20">
        <v>2.7400000000000001E-2</v>
      </c>
      <c r="G20">
        <v>-0.88449999999999995</v>
      </c>
      <c r="H20">
        <v>-13.622299999999999</v>
      </c>
      <c r="I20">
        <v>-5.2317999999999998</v>
      </c>
      <c r="J20">
        <v>-7.0890000000000004</v>
      </c>
      <c r="K20">
        <v>1.6199999999999999E-2</v>
      </c>
      <c r="O20" t="s">
        <v>249</v>
      </c>
    </row>
    <row r="21" spans="1:15" x14ac:dyDescent="0.25">
      <c r="A21">
        <v>23</v>
      </c>
      <c r="B21">
        <v>22</v>
      </c>
      <c r="C21" s="7" t="s">
        <v>30</v>
      </c>
      <c r="D21" t="s">
        <v>245</v>
      </c>
      <c r="E21">
        <v>5</v>
      </c>
      <c r="F21">
        <v>-0.60529999999999995</v>
      </c>
      <c r="G21">
        <v>-1.2958000000000001</v>
      </c>
      <c r="H21">
        <v>-21.2544</v>
      </c>
      <c r="I21">
        <v>-8.0888000000000009</v>
      </c>
      <c r="J21">
        <v>-7.8369999999999997</v>
      </c>
      <c r="K21">
        <v>9.4999999999999998E-3</v>
      </c>
      <c r="O21" t="s">
        <v>250</v>
      </c>
    </row>
    <row r="22" spans="1:15" x14ac:dyDescent="0.25">
      <c r="A22">
        <v>24</v>
      </c>
      <c r="B22">
        <v>23</v>
      </c>
      <c r="C22" s="7" t="s">
        <v>251</v>
      </c>
      <c r="D22" t="s">
        <v>245</v>
      </c>
      <c r="E22">
        <v>2</v>
      </c>
      <c r="F22">
        <v>1.8859999999999999</v>
      </c>
      <c r="G22">
        <v>1.3216000000000001</v>
      </c>
      <c r="H22">
        <v>3.0146999999999999</v>
      </c>
      <c r="I22">
        <v>-2.4384999999999999</v>
      </c>
      <c r="J22">
        <v>1.0566</v>
      </c>
      <c r="K22">
        <v>4.0899999999999999E-2</v>
      </c>
      <c r="O22" t="s">
        <v>252</v>
      </c>
    </row>
    <row r="23" spans="1:15" x14ac:dyDescent="0.25">
      <c r="A23">
        <v>25</v>
      </c>
      <c r="B23">
        <v>24</v>
      </c>
      <c r="C23" s="7" t="s">
        <v>32</v>
      </c>
      <c r="D23" t="s">
        <v>245</v>
      </c>
      <c r="E23">
        <v>3</v>
      </c>
      <c r="F23">
        <v>1.8784000000000001</v>
      </c>
      <c r="G23">
        <v>1.6682999999999999</v>
      </c>
      <c r="H23">
        <v>-4.6886000000000001</v>
      </c>
      <c r="I23">
        <v>-2.0933999999999999</v>
      </c>
      <c r="J23">
        <v>-3.6608000000000001</v>
      </c>
      <c r="K23">
        <v>2.87E-2</v>
      </c>
      <c r="O23" t="s">
        <v>253</v>
      </c>
    </row>
    <row r="24" spans="1:15" x14ac:dyDescent="0.25">
      <c r="A24" s="12">
        <v>29</v>
      </c>
      <c r="B24" s="12">
        <v>26</v>
      </c>
      <c r="C24" s="12" t="s">
        <v>36</v>
      </c>
      <c r="D24" s="12" t="s">
        <v>238</v>
      </c>
      <c r="E24" s="12">
        <v>1</v>
      </c>
      <c r="F24" s="12">
        <v>2.2475999999999998</v>
      </c>
      <c r="G24" s="12">
        <v>3.2423999999999999</v>
      </c>
      <c r="H24" s="12">
        <v>8.0503</v>
      </c>
      <c r="I24" s="12">
        <v>5.2378999999999998</v>
      </c>
      <c r="J24" s="12">
        <v>11.8005</v>
      </c>
      <c r="K24" s="12">
        <v>4.1999999999999997E-3</v>
      </c>
    </row>
    <row r="25" spans="1:15" x14ac:dyDescent="0.25">
      <c r="A25" s="14">
        <v>30</v>
      </c>
      <c r="B25" s="14">
        <v>27</v>
      </c>
      <c r="C25" s="14" t="s">
        <v>37</v>
      </c>
      <c r="D25" s="14" t="s">
        <v>245</v>
      </c>
      <c r="E25" s="14">
        <v>2</v>
      </c>
      <c r="F25" s="14">
        <v>2.5461</v>
      </c>
      <c r="G25" s="14">
        <v>5.1623999999999999</v>
      </c>
      <c r="H25" s="14">
        <v>3.3399000000000001</v>
      </c>
      <c r="I25" s="14">
        <v>1.3244</v>
      </c>
      <c r="J25" s="14">
        <v>7.7634999999999996</v>
      </c>
      <c r="K25" s="14">
        <v>1.7000000000000001E-2</v>
      </c>
    </row>
    <row r="26" spans="1:15" x14ac:dyDescent="0.25">
      <c r="A26" s="14">
        <v>31</v>
      </c>
      <c r="B26" s="14">
        <v>28</v>
      </c>
      <c r="C26" s="14" t="s">
        <v>38</v>
      </c>
      <c r="D26" s="14" t="s">
        <v>238</v>
      </c>
      <c r="E26" s="14">
        <v>1</v>
      </c>
      <c r="F26" s="14">
        <v>3.9741</v>
      </c>
      <c r="G26" s="14">
        <v>6.6985999999999999</v>
      </c>
      <c r="H26" s="14">
        <v>8.4171999999999993</v>
      </c>
      <c r="I26" s="14">
        <v>3.14</v>
      </c>
      <c r="J26" s="14">
        <v>7.5917000000000003</v>
      </c>
      <c r="K26" s="14">
        <v>2.07E-2</v>
      </c>
    </row>
    <row r="27" spans="1:15" x14ac:dyDescent="0.25">
      <c r="A27" s="14">
        <v>32</v>
      </c>
      <c r="B27" s="14">
        <v>29</v>
      </c>
      <c r="C27" s="14" t="s">
        <v>39</v>
      </c>
      <c r="D27" s="14" t="s">
        <v>245</v>
      </c>
      <c r="E27" s="14">
        <v>2</v>
      </c>
      <c r="F27" s="14">
        <v>4.5934999999999997</v>
      </c>
      <c r="G27" s="14">
        <v>14.099399999999999</v>
      </c>
      <c r="H27" s="14">
        <v>3.0851999999999999</v>
      </c>
      <c r="I27" s="14">
        <v>0.98709999999999998</v>
      </c>
      <c r="J27" s="14">
        <v>4.5545999999999998</v>
      </c>
      <c r="K27" s="14">
        <v>4.7800000000000002E-2</v>
      </c>
    </row>
    <row r="28" spans="1:15" x14ac:dyDescent="0.25">
      <c r="A28">
        <v>33</v>
      </c>
      <c r="B28">
        <v>30</v>
      </c>
      <c r="C28" s="7" t="s">
        <v>254</v>
      </c>
      <c r="D28" t="s">
        <v>238</v>
      </c>
      <c r="E28">
        <v>1</v>
      </c>
      <c r="F28">
        <v>2.6907000000000001</v>
      </c>
      <c r="G28">
        <v>3.2534999999999998</v>
      </c>
      <c r="H28">
        <v>8.1106999999999996</v>
      </c>
      <c r="I28">
        <v>6.3822999999999999</v>
      </c>
      <c r="J28">
        <v>3.4394</v>
      </c>
      <c r="K28">
        <v>3.4700000000000002E-2</v>
      </c>
    </row>
    <row r="29" spans="1:15" x14ac:dyDescent="0.25">
      <c r="A29" s="11">
        <v>37</v>
      </c>
      <c r="B29" s="11">
        <v>32</v>
      </c>
      <c r="C29" s="11" t="s">
        <v>44</v>
      </c>
      <c r="D29" s="11" t="s">
        <v>245</v>
      </c>
      <c r="E29" s="11">
        <v>3</v>
      </c>
      <c r="F29" s="11">
        <v>2.2519</v>
      </c>
      <c r="G29" s="11">
        <v>2.4973999999999998</v>
      </c>
      <c r="H29" s="11">
        <v>-3.8647999999999998</v>
      </c>
      <c r="I29" s="11">
        <v>8.5800000000000001E-2</v>
      </c>
      <c r="J29" s="11">
        <v>-0.8306</v>
      </c>
      <c r="K29" s="11">
        <v>2.0799999999999999E-2</v>
      </c>
    </row>
    <row r="30" spans="1:15" x14ac:dyDescent="0.25">
      <c r="A30">
        <v>38</v>
      </c>
      <c r="B30">
        <v>33</v>
      </c>
      <c r="C30" s="7" t="s">
        <v>45</v>
      </c>
      <c r="D30" t="s">
        <v>238</v>
      </c>
      <c r="E30">
        <v>1</v>
      </c>
      <c r="F30">
        <v>2.1021000000000001</v>
      </c>
      <c r="G30">
        <v>2.9058999999999999</v>
      </c>
      <c r="H30">
        <v>7.8411</v>
      </c>
      <c r="I30">
        <v>7.8726000000000003</v>
      </c>
      <c r="J30">
        <v>5.3761000000000001</v>
      </c>
      <c r="K30">
        <v>1.67E-2</v>
      </c>
    </row>
    <row r="31" spans="1:15" x14ac:dyDescent="0.25">
      <c r="A31">
        <v>39</v>
      </c>
      <c r="B31">
        <v>34</v>
      </c>
      <c r="C31" s="7" t="s">
        <v>46</v>
      </c>
      <c r="D31" t="s">
        <v>245</v>
      </c>
      <c r="E31">
        <v>3</v>
      </c>
      <c r="F31">
        <v>2.6711</v>
      </c>
      <c r="G31">
        <v>3.1633</v>
      </c>
      <c r="H31">
        <v>3.7273000000000001</v>
      </c>
      <c r="I31">
        <v>3.7488000000000001</v>
      </c>
      <c r="J31">
        <v>2.3963999999999999</v>
      </c>
      <c r="K31">
        <v>1.8700000000000001E-2</v>
      </c>
    </row>
    <row r="32" spans="1:15" x14ac:dyDescent="0.25">
      <c r="A32">
        <v>40</v>
      </c>
      <c r="B32">
        <v>35</v>
      </c>
      <c r="C32" s="7" t="s">
        <v>255</v>
      </c>
      <c r="D32" t="s">
        <v>238</v>
      </c>
      <c r="E32">
        <v>1</v>
      </c>
      <c r="F32">
        <v>2.6198999999999999</v>
      </c>
      <c r="G32">
        <v>2.3902000000000001</v>
      </c>
      <c r="H32">
        <v>8.1606000000000005</v>
      </c>
      <c r="I32">
        <v>2.0405000000000002</v>
      </c>
      <c r="J32">
        <v>5.0132000000000003</v>
      </c>
      <c r="K32">
        <v>4.2299999999999997E-2</v>
      </c>
    </row>
    <row r="33" spans="1:11" x14ac:dyDescent="0.25">
      <c r="A33">
        <v>41</v>
      </c>
      <c r="B33">
        <v>36</v>
      </c>
      <c r="C33" s="7" t="s">
        <v>256</v>
      </c>
      <c r="D33" t="s">
        <v>238</v>
      </c>
      <c r="E33">
        <v>2</v>
      </c>
      <c r="F33">
        <v>2.1181999999999999</v>
      </c>
      <c r="G33">
        <v>1.4258999999999999</v>
      </c>
      <c r="H33">
        <v>0.51480000000000004</v>
      </c>
      <c r="I33">
        <v>0.25950000000000001</v>
      </c>
      <c r="J33">
        <v>2.7824</v>
      </c>
      <c r="K33">
        <v>3.6400000000000002E-2</v>
      </c>
    </row>
    <row r="34" spans="1:11" x14ac:dyDescent="0.25">
      <c r="A34">
        <v>42</v>
      </c>
      <c r="B34">
        <v>37</v>
      </c>
      <c r="C34" s="7" t="s">
        <v>49</v>
      </c>
      <c r="D34" t="s">
        <v>238</v>
      </c>
      <c r="E34">
        <v>3</v>
      </c>
      <c r="F34">
        <v>1.4466000000000001</v>
      </c>
      <c r="G34">
        <v>0.97719999999999996</v>
      </c>
      <c r="H34">
        <v>-7.2638999999999996</v>
      </c>
      <c r="I34">
        <v>-2.8696999999999999</v>
      </c>
      <c r="J34">
        <v>-1.1516999999999999</v>
      </c>
      <c r="K34">
        <v>2.8400000000000002E-2</v>
      </c>
    </row>
    <row r="35" spans="1:11" x14ac:dyDescent="0.25">
      <c r="A35">
        <v>43</v>
      </c>
      <c r="B35">
        <v>38</v>
      </c>
      <c r="C35" s="7" t="s">
        <v>50</v>
      </c>
      <c r="D35" t="s">
        <v>238</v>
      </c>
      <c r="E35">
        <v>4</v>
      </c>
      <c r="F35">
        <v>0.57869999999999999</v>
      </c>
      <c r="G35">
        <v>0.4546</v>
      </c>
      <c r="H35">
        <v>-13.1897</v>
      </c>
      <c r="I35">
        <v>-13.7021</v>
      </c>
      <c r="J35">
        <v>-10.573499999999999</v>
      </c>
      <c r="K35">
        <v>2.24E-2</v>
      </c>
    </row>
    <row r="36" spans="1:11" x14ac:dyDescent="0.25">
      <c r="A36">
        <v>44</v>
      </c>
      <c r="B36">
        <v>39</v>
      </c>
      <c r="C36" s="7" t="s">
        <v>51</v>
      </c>
      <c r="F36">
        <v>2.2248999999999999</v>
      </c>
      <c r="G36">
        <v>2.2831000000000001</v>
      </c>
      <c r="H36">
        <v>7.923</v>
      </c>
      <c r="I36">
        <v>4.8158000000000003</v>
      </c>
      <c r="J36">
        <v>6.8448000000000002</v>
      </c>
      <c r="K36">
        <v>2.5600000000000001E-2</v>
      </c>
    </row>
    <row r="37" spans="1:11" x14ac:dyDescent="0.25">
      <c r="A37">
        <v>45</v>
      </c>
      <c r="B37">
        <v>40</v>
      </c>
      <c r="C37" s="7" t="s">
        <v>52</v>
      </c>
      <c r="F37">
        <v>2.1193</v>
      </c>
      <c r="G37">
        <v>1.5817000000000001</v>
      </c>
      <c r="H37">
        <v>-5.0496999999999996</v>
      </c>
      <c r="I37">
        <v>-0.38619999999999999</v>
      </c>
      <c r="J37">
        <v>-0.50409999999999999</v>
      </c>
      <c r="K37">
        <v>3.1199999999999999E-2</v>
      </c>
    </row>
    <row r="38" spans="1:11" x14ac:dyDescent="0.25">
      <c r="A38">
        <v>47</v>
      </c>
      <c r="B38">
        <v>41</v>
      </c>
      <c r="C38" s="7" t="s">
        <v>54</v>
      </c>
      <c r="F38">
        <v>2.0491000000000001</v>
      </c>
      <c r="G38">
        <v>3.6400999999999999</v>
      </c>
      <c r="H38">
        <v>-3.6494</v>
      </c>
      <c r="I38">
        <v>-2.0901000000000001</v>
      </c>
      <c r="J38">
        <v>-2.1899999999999999E-2</v>
      </c>
      <c r="K38">
        <v>2.4899999999999999E-2</v>
      </c>
    </row>
    <row r="39" spans="1:11" x14ac:dyDescent="0.25">
      <c r="A39">
        <v>48</v>
      </c>
      <c r="B39">
        <v>42</v>
      </c>
      <c r="C39" s="7" t="s">
        <v>55</v>
      </c>
      <c r="F39">
        <v>1.5802</v>
      </c>
      <c r="G39">
        <v>1.3861000000000001</v>
      </c>
      <c r="H39">
        <v>0.42199999999999999</v>
      </c>
      <c r="I39">
        <v>2.2042999999999999</v>
      </c>
      <c r="J39">
        <v>2.6377000000000002</v>
      </c>
      <c r="K39">
        <v>1.9599999999999999E-2</v>
      </c>
    </row>
    <row r="40" spans="1:11" x14ac:dyDescent="0.25">
      <c r="A40" s="12">
        <v>49</v>
      </c>
      <c r="B40" s="12">
        <v>43</v>
      </c>
      <c r="C40" s="12" t="s">
        <v>257</v>
      </c>
      <c r="D40" s="12"/>
      <c r="E40" s="12"/>
      <c r="F40" s="12">
        <v>1.5840000000000001</v>
      </c>
      <c r="G40" s="12">
        <v>1.5577000000000001</v>
      </c>
      <c r="H40" s="12">
        <v>7.6317000000000004</v>
      </c>
      <c r="I40" s="12">
        <v>3.2153999999999998</v>
      </c>
      <c r="J40" s="12">
        <v>3.3464</v>
      </c>
      <c r="K40" s="12">
        <v>2.81E-2</v>
      </c>
    </row>
    <row r="41" spans="1:11" x14ac:dyDescent="0.25">
      <c r="A41" s="12">
        <v>50</v>
      </c>
      <c r="B41" s="12">
        <v>44</v>
      </c>
      <c r="C41" s="12" t="s">
        <v>258</v>
      </c>
      <c r="D41" s="12"/>
      <c r="E41" s="12"/>
      <c r="F41" s="12">
        <v>0.97499999999999998</v>
      </c>
      <c r="G41" s="12">
        <v>0.67410000000000003</v>
      </c>
      <c r="H41" s="12">
        <v>0.1706</v>
      </c>
      <c r="I41" s="12">
        <v>0.51370000000000005</v>
      </c>
      <c r="J41" s="12">
        <v>0.8246</v>
      </c>
      <c r="K41" s="12">
        <v>2.2800000000000001E-2</v>
      </c>
    </row>
    <row r="42" spans="1:11" x14ac:dyDescent="0.25">
      <c r="A42">
        <v>51</v>
      </c>
      <c r="B42">
        <v>45</v>
      </c>
      <c r="C42" s="7" t="s">
        <v>58</v>
      </c>
      <c r="F42">
        <v>0.32719999999999999</v>
      </c>
      <c r="G42">
        <v>-1.01E-2</v>
      </c>
      <c r="H42">
        <v>-7.6173999999999999</v>
      </c>
      <c r="I42">
        <v>-2.7092999999999998</v>
      </c>
      <c r="J42">
        <v>-2.1543000000000001</v>
      </c>
      <c r="K42">
        <v>2.0500000000000001E-2</v>
      </c>
    </row>
    <row r="43" spans="1:11" x14ac:dyDescent="0.25">
      <c r="A43">
        <v>53</v>
      </c>
      <c r="B43">
        <v>46</v>
      </c>
      <c r="C43" s="7" t="s">
        <v>60</v>
      </c>
      <c r="F43">
        <v>1.1476</v>
      </c>
      <c r="G43">
        <v>1.3230999999999999</v>
      </c>
      <c r="H43">
        <v>-4.4170999999999996</v>
      </c>
      <c r="I43">
        <v>-1.2975000000000001</v>
      </c>
      <c r="J43">
        <v>1.49E-2</v>
      </c>
      <c r="K43">
        <v>8.3999999999999995E-3</v>
      </c>
    </row>
    <row r="44" spans="1:11" x14ac:dyDescent="0.25">
      <c r="A44" s="12">
        <v>54</v>
      </c>
      <c r="B44" s="12">
        <v>47</v>
      </c>
      <c r="C44" s="12" t="s">
        <v>259</v>
      </c>
      <c r="D44" s="12"/>
      <c r="E44" s="12"/>
      <c r="F44" s="12">
        <v>2.2639999999999998</v>
      </c>
      <c r="G44" s="12">
        <v>3.3490000000000002</v>
      </c>
      <c r="H44" s="12">
        <v>8.1995000000000005</v>
      </c>
      <c r="I44" s="12">
        <v>5.2100999999999997</v>
      </c>
      <c r="J44" s="12">
        <v>6.7984</v>
      </c>
      <c r="K44" s="12">
        <v>2.6200000000000001E-2</v>
      </c>
    </row>
    <row r="45" spans="1:11" x14ac:dyDescent="0.25">
      <c r="A45" s="12">
        <v>55</v>
      </c>
      <c r="B45" s="12">
        <v>48</v>
      </c>
      <c r="C45" s="12" t="s">
        <v>260</v>
      </c>
      <c r="D45" s="12"/>
      <c r="E45" s="12"/>
      <c r="F45" s="12">
        <v>1.4372</v>
      </c>
      <c r="G45" s="12">
        <v>36.297400000000003</v>
      </c>
      <c r="H45" s="12">
        <v>-0.38119999999999998</v>
      </c>
      <c r="I45" s="12">
        <v>0.56159999999999999</v>
      </c>
      <c r="J45" s="12">
        <v>2.8953000000000002</v>
      </c>
      <c r="K45" s="12">
        <v>2.1399999999999999E-2</v>
      </c>
    </row>
    <row r="46" spans="1:11" x14ac:dyDescent="0.25">
      <c r="A46" s="12">
        <v>57</v>
      </c>
      <c r="B46" s="12">
        <v>49</v>
      </c>
      <c r="C46" s="12" t="s">
        <v>261</v>
      </c>
      <c r="D46" s="12"/>
      <c r="E46" s="12"/>
      <c r="F46" s="12">
        <v>1.986</v>
      </c>
      <c r="G46" s="12">
        <v>2.7393999999999998</v>
      </c>
      <c r="H46" s="12">
        <v>7.7306999999999997</v>
      </c>
      <c r="I46" s="12">
        <v>2.5065</v>
      </c>
      <c r="J46" s="12">
        <v>7.2550999999999997</v>
      </c>
      <c r="K46" s="12">
        <v>2.7900000000000001E-2</v>
      </c>
    </row>
    <row r="47" spans="1:11" x14ac:dyDescent="0.25">
      <c r="A47" s="12">
        <v>58</v>
      </c>
      <c r="B47" s="12">
        <v>50</v>
      </c>
      <c r="C47" s="12" t="s">
        <v>262</v>
      </c>
      <c r="D47" s="12"/>
      <c r="E47" s="12"/>
      <c r="F47" s="12">
        <v>1.2689999999999999</v>
      </c>
      <c r="G47" s="12">
        <v>2.0377999999999998</v>
      </c>
      <c r="H47" s="12">
        <v>2.23E-2</v>
      </c>
      <c r="I47" s="12">
        <v>-0.71589999999999998</v>
      </c>
      <c r="J47" s="12">
        <v>1.4182999999999999</v>
      </c>
      <c r="K47" s="12">
        <v>2.46E-2</v>
      </c>
    </row>
    <row r="48" spans="1:11" x14ac:dyDescent="0.25">
      <c r="A48" s="12">
        <v>59</v>
      </c>
      <c r="B48" s="12">
        <v>51</v>
      </c>
      <c r="C48" s="12" t="s">
        <v>66</v>
      </c>
      <c r="D48" s="12"/>
      <c r="E48" s="12"/>
      <c r="F48" s="12">
        <v>0.59399999999999997</v>
      </c>
      <c r="G48" s="12">
        <v>1.3226</v>
      </c>
      <c r="H48" s="12">
        <v>-7.5377000000000001</v>
      </c>
      <c r="I48" s="12">
        <v>-4.6694000000000004</v>
      </c>
      <c r="J48" s="12">
        <v>-2.2824</v>
      </c>
      <c r="K48" s="12">
        <v>1.8200000000000001E-2</v>
      </c>
    </row>
    <row r="49" spans="1:11" x14ac:dyDescent="0.25">
      <c r="A49" s="12">
        <v>60</v>
      </c>
      <c r="B49" s="12">
        <v>52</v>
      </c>
      <c r="C49" s="12" t="s">
        <v>263</v>
      </c>
      <c r="D49" s="12"/>
      <c r="E49" s="12"/>
      <c r="F49" s="12">
        <v>0.999</v>
      </c>
      <c r="G49" s="12">
        <v>0.84819999999999995</v>
      </c>
      <c r="H49" s="12">
        <v>0.34939999999999999</v>
      </c>
      <c r="I49" s="12">
        <v>-0.42499999999999999</v>
      </c>
      <c r="J49" s="12">
        <v>2.4584999999999999</v>
      </c>
      <c r="K49" s="12">
        <v>2.6499999999999999E-2</v>
      </c>
    </row>
    <row r="50" spans="1:11" x14ac:dyDescent="0.25">
      <c r="A50" s="12">
        <v>61</v>
      </c>
      <c r="B50" s="12">
        <v>53</v>
      </c>
      <c r="C50" s="12" t="s">
        <v>264</v>
      </c>
      <c r="D50" s="12"/>
      <c r="E50" s="12"/>
      <c r="F50" s="12">
        <v>0.33239999999999997</v>
      </c>
      <c r="G50" s="12">
        <v>-0.40839999999999999</v>
      </c>
      <c r="H50" s="12">
        <v>-6.7232000000000003</v>
      </c>
      <c r="I50" s="12">
        <v>-0.73540000000000005</v>
      </c>
      <c r="J50" s="12">
        <v>-7.3014000000000001</v>
      </c>
      <c r="K50" s="12">
        <v>1.9E-2</v>
      </c>
    </row>
    <row r="51" spans="1:11" x14ac:dyDescent="0.25">
      <c r="A51" s="14">
        <v>62</v>
      </c>
      <c r="B51" s="14">
        <v>54</v>
      </c>
      <c r="C51" s="14" t="s">
        <v>265</v>
      </c>
      <c r="D51" s="14"/>
      <c r="E51" s="14"/>
      <c r="F51" s="14">
        <v>2.8635999999999999</v>
      </c>
      <c r="G51" s="14">
        <v>4.3384</v>
      </c>
      <c r="H51" s="14">
        <v>4.3726000000000003</v>
      </c>
      <c r="I51" s="14">
        <v>1.9766999999999999</v>
      </c>
      <c r="J51" s="14">
        <v>6.3616000000000001</v>
      </c>
      <c r="K51" s="14">
        <v>2.5999999999999999E-2</v>
      </c>
    </row>
    <row r="52" spans="1:11" x14ac:dyDescent="0.25">
      <c r="A52" s="14">
        <v>63</v>
      </c>
      <c r="B52" s="14">
        <v>55</v>
      </c>
      <c r="C52" s="14" t="s">
        <v>70</v>
      </c>
      <c r="D52" s="14"/>
      <c r="E52" s="14"/>
      <c r="F52" s="14">
        <v>1.8969</v>
      </c>
      <c r="G52" s="14">
        <v>2.0754999999999999</v>
      </c>
      <c r="H52" s="14">
        <v>-3.9622999999999999</v>
      </c>
      <c r="I52" s="14">
        <v>-2.6745000000000001</v>
      </c>
      <c r="J52" s="14">
        <v>3.2589999999999999</v>
      </c>
      <c r="K52" s="14">
        <v>1.18E-2</v>
      </c>
    </row>
    <row r="53" spans="1:11" x14ac:dyDescent="0.25">
      <c r="A53" s="12">
        <v>65</v>
      </c>
      <c r="B53" s="12">
        <v>56</v>
      </c>
      <c r="C53" s="12" t="s">
        <v>266</v>
      </c>
      <c r="D53" s="12"/>
      <c r="E53" s="12"/>
      <c r="F53" s="12">
        <v>1.9866999999999999</v>
      </c>
      <c r="G53" s="12">
        <v>3.8058000000000001</v>
      </c>
      <c r="H53" s="12">
        <v>9.0936000000000003</v>
      </c>
      <c r="I53" s="12">
        <v>6.3555000000000001</v>
      </c>
      <c r="J53" s="12">
        <v>9.0777999999999999</v>
      </c>
      <c r="K53" s="12">
        <v>9.5999999999999992E-3</v>
      </c>
    </row>
    <row r="54" spans="1:11" x14ac:dyDescent="0.25">
      <c r="A54" s="11">
        <v>76</v>
      </c>
      <c r="B54" s="11">
        <v>62</v>
      </c>
      <c r="C54" s="11" t="s">
        <v>83</v>
      </c>
      <c r="D54" s="11"/>
      <c r="E54" s="11"/>
      <c r="F54" s="11">
        <v>2.3797999999999999</v>
      </c>
      <c r="G54" s="11">
        <v>2.5987</v>
      </c>
      <c r="H54" s="11">
        <v>3.4988000000000001</v>
      </c>
      <c r="I54" s="11">
        <v>1.1837</v>
      </c>
      <c r="J54" s="11">
        <v>1.8845000000000001</v>
      </c>
      <c r="K54" s="11">
        <v>3.2500000000000001E-2</v>
      </c>
    </row>
    <row r="55" spans="1:11" x14ac:dyDescent="0.25">
      <c r="A55">
        <v>77</v>
      </c>
      <c r="B55">
        <v>63</v>
      </c>
      <c r="C55" s="7" t="s">
        <v>267</v>
      </c>
      <c r="F55">
        <v>3.7227000000000001</v>
      </c>
      <c r="G55">
        <v>2.7999000000000001</v>
      </c>
      <c r="H55">
        <v>8.9177999999999997</v>
      </c>
      <c r="I55">
        <v>11.366</v>
      </c>
      <c r="J55">
        <v>3.1398000000000001</v>
      </c>
      <c r="K55">
        <v>3.3000000000000002E-2</v>
      </c>
    </row>
    <row r="56" spans="1:11" x14ac:dyDescent="0.25">
      <c r="A56">
        <v>78</v>
      </c>
      <c r="B56">
        <v>64</v>
      </c>
      <c r="C56" s="7" t="s">
        <v>268</v>
      </c>
      <c r="F56">
        <v>2.8721000000000001</v>
      </c>
      <c r="G56">
        <v>0.85389999999999999</v>
      </c>
      <c r="H56">
        <v>0.88849999999999996</v>
      </c>
      <c r="I56">
        <v>6.5225999999999997</v>
      </c>
      <c r="J56">
        <v>0.82940000000000003</v>
      </c>
      <c r="K56">
        <v>2.4899999999999999E-2</v>
      </c>
    </row>
    <row r="57" spans="1:11" x14ac:dyDescent="0.25">
      <c r="A57">
        <v>79</v>
      </c>
      <c r="B57">
        <v>65</v>
      </c>
      <c r="C57" s="7" t="s">
        <v>269</v>
      </c>
      <c r="F57">
        <v>2.1309</v>
      </c>
      <c r="G57">
        <v>6.4250999999999996</v>
      </c>
      <c r="H57">
        <v>-6.8570000000000002</v>
      </c>
      <c r="I57">
        <v>0.34449999999999997</v>
      </c>
      <c r="J57">
        <v>-0.52929999999999999</v>
      </c>
      <c r="K57">
        <v>5.04E-2</v>
      </c>
    </row>
    <row r="58" spans="1:11" x14ac:dyDescent="0.25">
      <c r="A58">
        <v>80</v>
      </c>
      <c r="B58">
        <v>66</v>
      </c>
      <c r="C58" s="7" t="s">
        <v>270</v>
      </c>
      <c r="F58">
        <v>3.4712000000000001</v>
      </c>
      <c r="G58">
        <v>4.5278</v>
      </c>
      <c r="H58">
        <v>3.7302</v>
      </c>
      <c r="I58">
        <v>2.8689</v>
      </c>
      <c r="J58">
        <v>1.2032</v>
      </c>
      <c r="K58">
        <v>3.0800000000000001E-2</v>
      </c>
    </row>
    <row r="59" spans="1:11" x14ac:dyDescent="0.25">
      <c r="A59">
        <v>81</v>
      </c>
      <c r="B59">
        <v>67</v>
      </c>
      <c r="C59" s="7" t="s">
        <v>271</v>
      </c>
      <c r="F59">
        <v>2.8708999999999998</v>
      </c>
      <c r="G59">
        <v>3.4847000000000001</v>
      </c>
      <c r="H59">
        <v>7.5368000000000004</v>
      </c>
      <c r="I59">
        <v>3.8856999999999999</v>
      </c>
      <c r="J59">
        <v>2.9346000000000001</v>
      </c>
      <c r="K59">
        <v>1.7999999999999999E-2</v>
      </c>
    </row>
    <row r="60" spans="1:11" x14ac:dyDescent="0.25">
      <c r="A60">
        <v>83</v>
      </c>
      <c r="B60">
        <v>68</v>
      </c>
      <c r="C60" s="7" t="s">
        <v>272</v>
      </c>
      <c r="F60">
        <v>2.7557999999999998</v>
      </c>
      <c r="G60">
        <v>2.5510999999999999</v>
      </c>
      <c r="H60">
        <v>8.0031999999999996</v>
      </c>
      <c r="I60">
        <v>7.4829999999999997</v>
      </c>
      <c r="J60">
        <v>2.7871000000000001</v>
      </c>
      <c r="K60">
        <v>2.8000000000000001E-2</v>
      </c>
    </row>
    <row r="61" spans="1:11" x14ac:dyDescent="0.25">
      <c r="A61">
        <v>86</v>
      </c>
      <c r="B61">
        <v>69</v>
      </c>
      <c r="C61" s="7" t="s">
        <v>273</v>
      </c>
      <c r="F61">
        <v>5.2881999999999998</v>
      </c>
      <c r="G61">
        <v>11.8818</v>
      </c>
      <c r="H61">
        <v>9.0888000000000009</v>
      </c>
      <c r="I61">
        <v>9.0328999999999997</v>
      </c>
      <c r="J61">
        <v>10.639799999999999</v>
      </c>
      <c r="K61">
        <v>1.47E-2</v>
      </c>
    </row>
    <row r="62" spans="1:11" x14ac:dyDescent="0.25">
      <c r="A62">
        <v>87</v>
      </c>
      <c r="B62">
        <v>70</v>
      </c>
      <c r="C62" s="7" t="s">
        <v>274</v>
      </c>
      <c r="F62">
        <v>4.2195999999999998</v>
      </c>
      <c r="G62">
        <v>6.5932000000000004</v>
      </c>
      <c r="H62">
        <v>7.4016999999999999</v>
      </c>
      <c r="I62">
        <v>1.9963</v>
      </c>
      <c r="J62">
        <v>3.4895</v>
      </c>
      <c r="K62">
        <v>3.7999999999999999E-2</v>
      </c>
    </row>
    <row r="63" spans="1:11" x14ac:dyDescent="0.25">
      <c r="A63">
        <v>89</v>
      </c>
      <c r="B63">
        <v>71</v>
      </c>
      <c r="C63" s="7" t="s">
        <v>275</v>
      </c>
      <c r="F63">
        <v>4.7548000000000004</v>
      </c>
      <c r="G63">
        <v>3.7172999999999998</v>
      </c>
      <c r="H63">
        <v>9.0039999999999996</v>
      </c>
      <c r="I63">
        <v>8.9126999999999992</v>
      </c>
      <c r="J63">
        <v>6.8045999999999998</v>
      </c>
      <c r="K63">
        <v>5.33E-2</v>
      </c>
    </row>
    <row r="64" spans="1:11" x14ac:dyDescent="0.25">
      <c r="A64">
        <v>94</v>
      </c>
      <c r="B64">
        <v>72</v>
      </c>
      <c r="C64" s="7" t="s">
        <v>276</v>
      </c>
      <c r="F64">
        <v>6.3135000000000003</v>
      </c>
      <c r="G64">
        <v>14.8384</v>
      </c>
      <c r="H64">
        <v>5.6337000000000002</v>
      </c>
      <c r="I64">
        <v>10.1051</v>
      </c>
      <c r="J64">
        <v>7.3531000000000004</v>
      </c>
      <c r="K64">
        <v>3.49E-2</v>
      </c>
    </row>
    <row r="65" spans="1:12" x14ac:dyDescent="0.25">
      <c r="A65">
        <v>98</v>
      </c>
      <c r="B65">
        <v>73</v>
      </c>
      <c r="C65" s="7" t="s">
        <v>105</v>
      </c>
      <c r="F65">
        <v>5.3177000000000003</v>
      </c>
      <c r="G65">
        <v>9.4040999999999997</v>
      </c>
      <c r="H65">
        <v>-4.0045000000000002</v>
      </c>
      <c r="I65">
        <v>4.0297999999999998</v>
      </c>
      <c r="J65">
        <v>3.8028</v>
      </c>
      <c r="K65">
        <v>3.2599999999999997E-2</v>
      </c>
    </row>
    <row r="66" spans="1:12" x14ac:dyDescent="0.25">
      <c r="A66" s="14">
        <v>126</v>
      </c>
      <c r="B66" s="14">
        <v>74</v>
      </c>
      <c r="C66" s="14" t="s">
        <v>133</v>
      </c>
      <c r="D66" s="14"/>
      <c r="E66" s="14"/>
      <c r="F66" s="14">
        <v>2.2389999999999999</v>
      </c>
      <c r="G66" s="14">
        <v>2.6398000000000001</v>
      </c>
      <c r="H66" s="14">
        <v>4.0118</v>
      </c>
      <c r="I66" s="14">
        <v>1.7621</v>
      </c>
      <c r="J66" s="14">
        <v>1.6744000000000001</v>
      </c>
      <c r="K66" s="14">
        <v>0.03</v>
      </c>
    </row>
    <row r="67" spans="1:12" x14ac:dyDescent="0.25">
      <c r="A67" s="14">
        <v>128</v>
      </c>
      <c r="B67" s="14">
        <v>75</v>
      </c>
      <c r="C67" s="14" t="s">
        <v>135</v>
      </c>
      <c r="D67" s="14"/>
      <c r="E67" s="14"/>
      <c r="F67" s="14">
        <v>2.0280999999999998</v>
      </c>
      <c r="G67" s="14">
        <v>2.0415999999999999</v>
      </c>
      <c r="H67" s="14">
        <v>9.2790999999999997</v>
      </c>
      <c r="I67" s="14">
        <v>3.3944000000000001</v>
      </c>
      <c r="J67" s="14">
        <v>2.9788000000000001</v>
      </c>
      <c r="K67" s="14">
        <v>2.1299999999999999E-2</v>
      </c>
    </row>
    <row r="68" spans="1:12" x14ac:dyDescent="0.25">
      <c r="A68" s="14">
        <v>131</v>
      </c>
      <c r="B68" s="14">
        <v>76</v>
      </c>
      <c r="C68" s="14" t="s">
        <v>138</v>
      </c>
      <c r="D68" s="14"/>
      <c r="E68" s="14"/>
      <c r="F68" s="14">
        <v>3.7479</v>
      </c>
      <c r="G68" s="14">
        <v>4.0755999999999997</v>
      </c>
      <c r="H68" s="14">
        <v>8.7017000000000007</v>
      </c>
      <c r="I68" s="14">
        <v>1.6962999999999999</v>
      </c>
      <c r="J68" s="14">
        <v>17.9895</v>
      </c>
      <c r="K68" s="14">
        <v>2.2700000000000001E-2</v>
      </c>
      <c r="L68" t="s">
        <v>277</v>
      </c>
    </row>
    <row r="69" spans="1:12" x14ac:dyDescent="0.25">
      <c r="A69" s="12">
        <v>134</v>
      </c>
      <c r="B69" s="12">
        <v>77</v>
      </c>
      <c r="C69" s="12" t="s">
        <v>278</v>
      </c>
      <c r="D69" s="12"/>
      <c r="E69" s="12"/>
      <c r="F69" s="12">
        <v>3.8180999999999998</v>
      </c>
      <c r="G69" s="12">
        <v>2.4297</v>
      </c>
      <c r="H69" s="12">
        <v>8.3026999999999997</v>
      </c>
      <c r="I69" s="12">
        <v>5.7112999999999996</v>
      </c>
      <c r="J69" s="12">
        <v>9.9562000000000008</v>
      </c>
      <c r="K69" s="12">
        <v>4.1700000000000001E-2</v>
      </c>
      <c r="L69" t="s">
        <v>279</v>
      </c>
    </row>
    <row r="70" spans="1:12" x14ac:dyDescent="0.25">
      <c r="A70" s="11">
        <v>135</v>
      </c>
      <c r="B70" s="11">
        <v>78</v>
      </c>
      <c r="C70" s="11" t="s">
        <v>280</v>
      </c>
      <c r="D70" s="11"/>
      <c r="E70" s="11"/>
      <c r="F70" s="11">
        <v>3.1219999999999999</v>
      </c>
      <c r="G70" s="11">
        <v>10.9421</v>
      </c>
      <c r="H70" s="11">
        <v>0.31209999999999999</v>
      </c>
      <c r="I70" s="11">
        <v>-1.5733999999999999</v>
      </c>
      <c r="J70" s="11">
        <v>5.1166999999999998</v>
      </c>
      <c r="K70" s="11">
        <v>3.8100000000000002E-2</v>
      </c>
    </row>
    <row r="71" spans="1:12" x14ac:dyDescent="0.25">
      <c r="A71" s="11">
        <v>136</v>
      </c>
      <c r="B71" s="11">
        <v>79</v>
      </c>
      <c r="C71" s="11" t="s">
        <v>281</v>
      </c>
      <c r="D71" s="11"/>
      <c r="E71" s="11"/>
      <c r="F71" s="11">
        <v>2.9868999999999999</v>
      </c>
      <c r="G71" s="11">
        <v>1.7526999999999999</v>
      </c>
      <c r="H71" s="11">
        <v>8.8099999999999998E-2</v>
      </c>
      <c r="I71" s="11">
        <v>0.71819999999999995</v>
      </c>
      <c r="J71" s="11">
        <v>4.8512000000000004</v>
      </c>
      <c r="K71" s="11">
        <v>3.9199999999999999E-2</v>
      </c>
    </row>
    <row r="72" spans="1:12" x14ac:dyDescent="0.25">
      <c r="A72">
        <v>137</v>
      </c>
      <c r="B72">
        <v>80</v>
      </c>
      <c r="C72" s="7" t="s">
        <v>144</v>
      </c>
      <c r="F72">
        <v>2.9996</v>
      </c>
      <c r="G72">
        <v>4.1967999999999996</v>
      </c>
      <c r="H72">
        <v>7.4016999999999999</v>
      </c>
      <c r="I72">
        <v>12.696300000000001</v>
      </c>
      <c r="J72">
        <v>27.7895</v>
      </c>
      <c r="K72">
        <v>1.04E-2</v>
      </c>
    </row>
    <row r="73" spans="1:12" x14ac:dyDescent="0.25">
      <c r="A73" s="10">
        <v>143</v>
      </c>
      <c r="B73" s="10">
        <v>85</v>
      </c>
      <c r="C73" s="10" t="s">
        <v>282</v>
      </c>
      <c r="D73" s="10"/>
      <c r="E73" s="10"/>
      <c r="F73" s="10">
        <v>2.5028999999999999</v>
      </c>
      <c r="G73" s="10">
        <v>1.8634999999999999</v>
      </c>
      <c r="H73" s="10">
        <v>8.8002000000000002</v>
      </c>
      <c r="I73" s="10">
        <v>3.6190000000000002</v>
      </c>
      <c r="J73" s="10">
        <v>3.2505999999999999</v>
      </c>
      <c r="K73" s="10">
        <v>3.56E-2</v>
      </c>
    </row>
    <row r="74" spans="1:12" x14ac:dyDescent="0.25">
      <c r="A74" s="10">
        <v>144</v>
      </c>
      <c r="B74" s="10">
        <v>86</v>
      </c>
      <c r="C74" s="10" t="s">
        <v>283</v>
      </c>
      <c r="D74" s="10"/>
      <c r="E74" s="10"/>
      <c r="F74" s="10">
        <v>1.9548000000000001</v>
      </c>
      <c r="G74" s="10">
        <v>0.8881</v>
      </c>
      <c r="H74" s="10">
        <v>0.72940000000000005</v>
      </c>
      <c r="I74" s="10">
        <v>-1.2999999999999999E-2</v>
      </c>
      <c r="J74" s="10">
        <v>0.12509999999999999</v>
      </c>
      <c r="K74" s="10">
        <v>2.9399999999999999E-2</v>
      </c>
    </row>
    <row r="75" spans="1:12" x14ac:dyDescent="0.25">
      <c r="A75" s="10">
        <v>147</v>
      </c>
      <c r="B75" s="10">
        <v>87</v>
      </c>
      <c r="C75" s="10" t="s">
        <v>154</v>
      </c>
      <c r="D75" s="10"/>
      <c r="E75" s="10"/>
      <c r="F75" s="10">
        <v>1.7834000000000001</v>
      </c>
      <c r="G75" s="10">
        <v>0.98939999999999995</v>
      </c>
      <c r="H75" s="10">
        <v>-3.5646</v>
      </c>
      <c r="I75" s="10">
        <v>-2.0985999999999998</v>
      </c>
      <c r="J75" s="10">
        <v>-1.3573999999999999</v>
      </c>
      <c r="K75" s="10">
        <v>3.1699999999999999E-2</v>
      </c>
    </row>
    <row r="76" spans="1:12" x14ac:dyDescent="0.25">
      <c r="A76" s="14">
        <v>148</v>
      </c>
      <c r="B76" s="14">
        <v>88</v>
      </c>
      <c r="C76" s="14" t="s">
        <v>155</v>
      </c>
      <c r="D76" s="14"/>
      <c r="E76" s="14"/>
      <c r="F76" s="14">
        <v>4.7622</v>
      </c>
      <c r="G76" s="14">
        <v>5.3102999999999998</v>
      </c>
      <c r="H76" s="14">
        <v>1.7891999999999999</v>
      </c>
      <c r="I76" s="14">
        <v>7.4638999999999998</v>
      </c>
      <c r="J76" s="14">
        <v>3.7446999999999999</v>
      </c>
      <c r="K76" s="14">
        <v>1.43E-2</v>
      </c>
    </row>
    <row r="77" spans="1:12" x14ac:dyDescent="0.25">
      <c r="A77" s="14">
        <v>149</v>
      </c>
      <c r="B77" s="14">
        <v>89</v>
      </c>
      <c r="C77" s="14" t="s">
        <v>284</v>
      </c>
      <c r="D77" s="14"/>
      <c r="E77" s="14"/>
      <c r="F77" s="14">
        <v>5.0639000000000003</v>
      </c>
      <c r="G77" s="14">
        <v>6.4215</v>
      </c>
      <c r="H77" s="14">
        <v>1.6659999999999999</v>
      </c>
      <c r="I77" s="14">
        <v>8.4335000000000004</v>
      </c>
      <c r="J77" s="14">
        <v>-0.33250000000000002</v>
      </c>
      <c r="K77" s="14">
        <v>2.3699999999999999E-2</v>
      </c>
    </row>
    <row r="78" spans="1:12" x14ac:dyDescent="0.25">
      <c r="A78" s="10">
        <v>164</v>
      </c>
      <c r="B78" s="10">
        <v>92</v>
      </c>
      <c r="C78" s="10" t="s">
        <v>285</v>
      </c>
      <c r="D78" s="10"/>
      <c r="E78" s="10"/>
      <c r="F78" s="10">
        <v>2.2078000000000002</v>
      </c>
      <c r="G78" s="10">
        <v>2.7606000000000002</v>
      </c>
      <c r="H78" s="10">
        <v>0.10580000000000001</v>
      </c>
      <c r="I78" s="10">
        <v>0.65890000000000004</v>
      </c>
      <c r="J78" s="10">
        <v>2.3940999999999999</v>
      </c>
      <c r="K78" s="10">
        <v>2.3099999999999999E-2</v>
      </c>
    </row>
    <row r="79" spans="1:12" x14ac:dyDescent="0.25">
      <c r="A79" s="10">
        <v>165</v>
      </c>
      <c r="B79" s="10">
        <v>93</v>
      </c>
      <c r="C79" s="10" t="s">
        <v>286</v>
      </c>
      <c r="D79" s="10"/>
      <c r="E79" s="10"/>
      <c r="F79" s="10">
        <v>2.714</v>
      </c>
      <c r="G79" s="10">
        <v>1.5194000000000001</v>
      </c>
      <c r="H79" s="10">
        <v>9.548</v>
      </c>
      <c r="I79" s="10">
        <v>4.6184000000000003</v>
      </c>
      <c r="J79" s="10">
        <v>7.9801000000000002</v>
      </c>
      <c r="K79" s="10">
        <v>2.8500000000000001E-2</v>
      </c>
    </row>
    <row r="80" spans="1:12" x14ac:dyDescent="0.25">
      <c r="A80" s="10">
        <v>166</v>
      </c>
      <c r="B80" s="10">
        <v>94</v>
      </c>
      <c r="C80" s="10" t="s">
        <v>287</v>
      </c>
      <c r="D80" s="10"/>
      <c r="E80" s="10"/>
      <c r="F80" s="10">
        <v>1.7849999999999999</v>
      </c>
      <c r="G80" s="10">
        <v>-2.0257999999999998</v>
      </c>
      <c r="H80" s="10">
        <v>4.6310000000000002</v>
      </c>
      <c r="I80" s="10">
        <v>4.0936000000000003</v>
      </c>
      <c r="J80" s="10">
        <v>2.0651000000000002</v>
      </c>
      <c r="K80" s="10">
        <v>2.9000000000000001E-2</v>
      </c>
    </row>
    <row r="81" spans="1:11" x14ac:dyDescent="0.25">
      <c r="A81" s="12">
        <v>168</v>
      </c>
      <c r="B81" s="12">
        <v>95</v>
      </c>
      <c r="C81" s="12" t="s">
        <v>288</v>
      </c>
      <c r="D81" s="12"/>
      <c r="E81" s="12"/>
      <c r="F81" s="12">
        <v>0.7147</v>
      </c>
      <c r="G81" s="12">
        <v>0.53129999999999999</v>
      </c>
      <c r="H81" s="12">
        <v>2.6692999999999998</v>
      </c>
      <c r="I81" s="12">
        <v>0.51039999999999996</v>
      </c>
      <c r="J81" s="12">
        <v>0.6159</v>
      </c>
      <c r="K81" s="12">
        <v>1.6E-2</v>
      </c>
    </row>
    <row r="82" spans="1:11" x14ac:dyDescent="0.25">
      <c r="A82" s="12">
        <v>169</v>
      </c>
      <c r="B82" s="12">
        <v>96</v>
      </c>
      <c r="C82" s="12" t="s">
        <v>175</v>
      </c>
      <c r="D82" s="12"/>
      <c r="E82" s="12"/>
      <c r="F82" s="12">
        <v>0.41370000000000001</v>
      </c>
      <c r="G82" s="12">
        <v>-0.1298</v>
      </c>
      <c r="H82" s="12">
        <v>-3.6903000000000001</v>
      </c>
      <c r="I82" s="12">
        <v>-3.2065000000000001</v>
      </c>
      <c r="J82" s="12">
        <v>-0.5171</v>
      </c>
      <c r="K82" s="12">
        <v>5.8999999999999999E-3</v>
      </c>
    </row>
    <row r="83" spans="1:11" x14ac:dyDescent="0.25">
      <c r="A83" s="12">
        <v>170</v>
      </c>
      <c r="B83" s="12">
        <v>97</v>
      </c>
      <c r="C83" s="12" t="s">
        <v>176</v>
      </c>
      <c r="D83" s="12"/>
      <c r="E83" s="12"/>
      <c r="F83" s="12">
        <v>-0.38090000000000002</v>
      </c>
      <c r="G83" s="12">
        <v>0.13220000000000001</v>
      </c>
      <c r="H83" s="12">
        <v>-10.222899999999999</v>
      </c>
      <c r="I83" s="12">
        <v>-2.6202000000000001</v>
      </c>
      <c r="J83" s="12">
        <v>-2.6328999999999998</v>
      </c>
      <c r="K83" s="12">
        <v>0.13930000000000001</v>
      </c>
    </row>
    <row r="84" spans="1:11" x14ac:dyDescent="0.25">
      <c r="A84">
        <v>171</v>
      </c>
      <c r="B84">
        <v>98</v>
      </c>
      <c r="C84" s="7" t="s">
        <v>177</v>
      </c>
      <c r="F84">
        <v>1.3771</v>
      </c>
      <c r="G84">
        <v>1.2254</v>
      </c>
      <c r="H84">
        <v>7.1859999999999999</v>
      </c>
      <c r="I84">
        <v>0.74819999999999998</v>
      </c>
      <c r="J84">
        <v>1.9775</v>
      </c>
      <c r="K84">
        <v>2.46E-2</v>
      </c>
    </row>
    <row r="85" spans="1:11" x14ac:dyDescent="0.25">
      <c r="A85">
        <v>172</v>
      </c>
      <c r="B85">
        <v>99</v>
      </c>
      <c r="C85" s="7" t="s">
        <v>178</v>
      </c>
      <c r="F85">
        <v>0.92469999999999997</v>
      </c>
      <c r="G85">
        <v>0.82699999999999996</v>
      </c>
      <c r="H85">
        <v>-1.1666000000000001</v>
      </c>
      <c r="I85">
        <v>3.3073999999999999</v>
      </c>
      <c r="J85">
        <v>-1.5024999999999999</v>
      </c>
      <c r="K85">
        <v>2E-3</v>
      </c>
    </row>
    <row r="86" spans="1:11" x14ac:dyDescent="0.25">
      <c r="A86">
        <v>173</v>
      </c>
      <c r="B86">
        <v>100</v>
      </c>
      <c r="C86" s="7" t="s">
        <v>179</v>
      </c>
      <c r="F86">
        <v>0.66239999999999999</v>
      </c>
      <c r="G86">
        <v>1.0683</v>
      </c>
      <c r="H86">
        <v>-7.5564999999999998</v>
      </c>
      <c r="I86">
        <v>-7.2796000000000003</v>
      </c>
      <c r="J86">
        <v>-17.012</v>
      </c>
      <c r="K86">
        <v>-3.61E-2</v>
      </c>
    </row>
    <row r="87" spans="1:11" x14ac:dyDescent="0.25">
      <c r="A87">
        <v>174</v>
      </c>
      <c r="B87">
        <v>101</v>
      </c>
      <c r="C87" s="7" t="s">
        <v>289</v>
      </c>
      <c r="F87">
        <v>1.2533000000000001</v>
      </c>
      <c r="G87">
        <v>0.80389999999999995</v>
      </c>
      <c r="H87">
        <v>7.2047999999999996</v>
      </c>
      <c r="I87">
        <v>4.2872000000000003</v>
      </c>
      <c r="J87">
        <v>2.4163000000000001</v>
      </c>
      <c r="K87">
        <v>3.1300000000000001E-2</v>
      </c>
    </row>
    <row r="88" spans="1:11" x14ac:dyDescent="0.25">
      <c r="A88" s="12">
        <v>175</v>
      </c>
      <c r="B88" s="12">
        <v>102</v>
      </c>
      <c r="C88" s="12" t="s">
        <v>181</v>
      </c>
      <c r="D88" s="12"/>
      <c r="E88" s="12"/>
      <c r="F88" s="12">
        <v>1.7013</v>
      </c>
      <c r="G88" s="12">
        <v>4.0385</v>
      </c>
      <c r="H88" s="12">
        <v>4.9383999999999997</v>
      </c>
      <c r="I88" s="12">
        <v>2.5434000000000001</v>
      </c>
      <c r="J88" s="12">
        <v>3.4089999999999998</v>
      </c>
      <c r="K88" s="12">
        <v>3.5000000000000001E-3</v>
      </c>
    </row>
    <row r="89" spans="1:11" x14ac:dyDescent="0.25">
      <c r="A89" s="12">
        <v>176</v>
      </c>
      <c r="B89" s="12">
        <v>103</v>
      </c>
      <c r="C89" s="12" t="s">
        <v>182</v>
      </c>
      <c r="D89" s="12"/>
      <c r="E89" s="12"/>
      <c r="F89" s="12">
        <v>1.1003000000000001</v>
      </c>
      <c r="G89" s="12">
        <v>0.56179999999999997</v>
      </c>
      <c r="H89" s="12">
        <v>-3.1833999999999998</v>
      </c>
      <c r="I89" s="12">
        <v>-0.62019999999999997</v>
      </c>
      <c r="J89" s="12">
        <v>-0.67600000000000005</v>
      </c>
      <c r="K89" s="12">
        <v>1.6999999999999999E-3</v>
      </c>
    </row>
    <row r="90" spans="1:11" x14ac:dyDescent="0.25">
      <c r="A90">
        <v>177</v>
      </c>
      <c r="B90">
        <v>104</v>
      </c>
      <c r="C90" s="7" t="s">
        <v>183</v>
      </c>
      <c r="F90">
        <v>5.5396999999999998</v>
      </c>
      <c r="G90">
        <v>4.9854000000000003</v>
      </c>
      <c r="H90">
        <v>7.5704000000000002</v>
      </c>
      <c r="I90">
        <v>10.767899999999999</v>
      </c>
      <c r="J90">
        <v>6.2565</v>
      </c>
      <c r="K90">
        <v>2.1999999999999999E-2</v>
      </c>
    </row>
    <row r="91" spans="1:11" x14ac:dyDescent="0.25">
      <c r="A91" s="12">
        <v>179</v>
      </c>
      <c r="B91" s="12">
        <v>105</v>
      </c>
      <c r="C91" s="12" t="s">
        <v>185</v>
      </c>
      <c r="D91" s="12"/>
      <c r="E91" s="12"/>
      <c r="F91" s="12">
        <v>0.88460000000000005</v>
      </c>
      <c r="G91" s="12">
        <v>1.3472</v>
      </c>
      <c r="H91" s="12">
        <v>4.1018999999999997</v>
      </c>
      <c r="I91" s="12">
        <v>3.1909999999999998</v>
      </c>
      <c r="J91" s="12">
        <v>2.802</v>
      </c>
      <c r="K91" s="12">
        <v>2E-3</v>
      </c>
    </row>
    <row r="92" spans="1:11" x14ac:dyDescent="0.25">
      <c r="A92" s="12">
        <v>180</v>
      </c>
      <c r="B92" s="12">
        <v>106</v>
      </c>
      <c r="C92" s="12" t="s">
        <v>186</v>
      </c>
      <c r="D92" s="12"/>
      <c r="E92" s="12"/>
      <c r="F92" s="12">
        <v>2.2023999999999999</v>
      </c>
      <c r="G92" s="12">
        <v>3.3614999999999999</v>
      </c>
      <c r="H92" s="12">
        <v>3.7195</v>
      </c>
      <c r="I92" s="12">
        <v>6.5430999999999999</v>
      </c>
      <c r="J92" s="12">
        <v>2.7658</v>
      </c>
      <c r="K92" s="12">
        <v>1.2E-2</v>
      </c>
    </row>
    <row r="93" spans="1:11" x14ac:dyDescent="0.25">
      <c r="A93">
        <v>181</v>
      </c>
      <c r="B93">
        <v>107</v>
      </c>
      <c r="C93" s="7" t="s">
        <v>187</v>
      </c>
      <c r="F93">
        <v>1.8863000000000001</v>
      </c>
      <c r="G93">
        <v>1.7123999999999999</v>
      </c>
      <c r="H93">
        <v>5.4725999999999999</v>
      </c>
      <c r="I93">
        <v>3.0043000000000002</v>
      </c>
      <c r="J93">
        <v>2.9683000000000002</v>
      </c>
      <c r="K93">
        <v>1.01E-2</v>
      </c>
    </row>
    <row r="94" spans="1:11" x14ac:dyDescent="0.25">
      <c r="A94" s="12">
        <v>184</v>
      </c>
      <c r="B94" s="12">
        <v>108</v>
      </c>
      <c r="C94" s="12" t="s">
        <v>190</v>
      </c>
      <c r="D94" s="12"/>
      <c r="E94" s="12"/>
      <c r="F94" s="12" t="s">
        <v>191</v>
      </c>
      <c r="G94" s="12">
        <v>0.68359999999999999</v>
      </c>
      <c r="H94" s="12">
        <v>-0.70069999999999999</v>
      </c>
      <c r="I94" s="12">
        <v>-3.1505000000000001</v>
      </c>
      <c r="J94" s="12">
        <v>0.26540000000000002</v>
      </c>
      <c r="K94" s="12">
        <v>1.04E-2</v>
      </c>
    </row>
    <row r="95" spans="1:11" x14ac:dyDescent="0.25">
      <c r="A95">
        <v>185</v>
      </c>
      <c r="B95">
        <v>109</v>
      </c>
      <c r="C95" s="7" t="s">
        <v>192</v>
      </c>
      <c r="F95" t="s">
        <v>193</v>
      </c>
      <c r="G95">
        <v>2.1318000000000001</v>
      </c>
      <c r="H95">
        <v>0.31940000000000002</v>
      </c>
      <c r="I95">
        <v>-0.53059999999999996</v>
      </c>
      <c r="J95">
        <v>-0.18640000000000001</v>
      </c>
      <c r="K95">
        <v>1.5699999999999999E-2</v>
      </c>
    </row>
    <row r="96" spans="1:11" x14ac:dyDescent="0.25">
      <c r="A96">
        <v>186</v>
      </c>
      <c r="B96">
        <v>110</v>
      </c>
      <c r="C96" s="7" t="s">
        <v>194</v>
      </c>
      <c r="F96">
        <v>1.0954999999999999</v>
      </c>
      <c r="G96">
        <v>1.6089</v>
      </c>
      <c r="H96">
        <v>0.10630000000000001</v>
      </c>
      <c r="I96">
        <v>1.0367</v>
      </c>
      <c r="J96">
        <v>1.6226</v>
      </c>
      <c r="K96">
        <v>1.2800000000000001E-2</v>
      </c>
    </row>
    <row r="97" spans="1:11" x14ac:dyDescent="0.25">
      <c r="A97">
        <v>199</v>
      </c>
      <c r="B97">
        <v>111</v>
      </c>
      <c r="C97" s="7" t="s">
        <v>207</v>
      </c>
      <c r="F97">
        <v>3.0537999999999998</v>
      </c>
      <c r="G97">
        <v>1.653</v>
      </c>
      <c r="H97">
        <v>11.1114</v>
      </c>
      <c r="I97">
        <v>11.1997</v>
      </c>
      <c r="J97">
        <v>1.6523000000000001</v>
      </c>
      <c r="K97">
        <v>2.58E-2</v>
      </c>
    </row>
    <row r="98" spans="1:11" x14ac:dyDescent="0.25">
      <c r="A98">
        <v>200</v>
      </c>
      <c r="B98">
        <v>112</v>
      </c>
      <c r="C98" s="7" t="s">
        <v>290</v>
      </c>
      <c r="F98">
        <v>0.42659999999999998</v>
      </c>
      <c r="G98">
        <v>0.19650000000000001</v>
      </c>
      <c r="H98">
        <v>-13.720800000000001</v>
      </c>
      <c r="I98">
        <v>-4.6294000000000004</v>
      </c>
      <c r="J98">
        <v>-5.0267999999999997</v>
      </c>
      <c r="K98">
        <v>-5.9999999999999995E-4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60EB-DBC8-44A4-9F73-359D156C6248}">
  <dimension ref="A1:M38"/>
  <sheetViews>
    <sheetView tabSelected="1" zoomScale="71" workbookViewId="0">
      <selection activeCell="P24" sqref="P24"/>
    </sheetView>
  </sheetViews>
  <sheetFormatPr defaultRowHeight="15" x14ac:dyDescent="0.25"/>
  <cols>
    <col min="4" max="4" width="47.140625" customWidth="1"/>
  </cols>
  <sheetData>
    <row r="1" spans="1:13" x14ac:dyDescent="0.25">
      <c r="A1" s="13" t="s">
        <v>227</v>
      </c>
      <c r="B1" s="13" t="s">
        <v>228</v>
      </c>
      <c r="C1" s="13" t="s">
        <v>0</v>
      </c>
      <c r="D1" s="13" t="s">
        <v>229</v>
      </c>
      <c r="E1" s="13" t="s">
        <v>230</v>
      </c>
      <c r="F1" s="13" t="s">
        <v>231</v>
      </c>
      <c r="G1" s="13" t="s">
        <v>232</v>
      </c>
      <c r="H1" s="13" t="s">
        <v>233</v>
      </c>
      <c r="I1" s="13" t="s">
        <v>234</v>
      </c>
      <c r="J1" s="13" t="s">
        <v>235</v>
      </c>
      <c r="K1" s="13" t="s">
        <v>236</v>
      </c>
      <c r="L1" s="13" t="s">
        <v>335</v>
      </c>
      <c r="M1" s="13" t="s">
        <v>336</v>
      </c>
    </row>
    <row r="2" spans="1:13" x14ac:dyDescent="0.25">
      <c r="A2">
        <v>1</v>
      </c>
      <c r="B2">
        <v>1</v>
      </c>
      <c r="C2" t="s">
        <v>237</v>
      </c>
      <c r="D2" t="s">
        <v>238</v>
      </c>
      <c r="E2">
        <v>1</v>
      </c>
      <c r="F2">
        <v>0.92179999999999995</v>
      </c>
      <c r="G2">
        <v>0.75549999999999995</v>
      </c>
      <c r="H2">
        <v>7.5983000000000001</v>
      </c>
      <c r="I2">
        <v>2.3037000000000001</v>
      </c>
      <c r="J2">
        <v>2.2105000000000001</v>
      </c>
      <c r="K2">
        <v>2.3800000000000002E-2</v>
      </c>
      <c r="L2">
        <v>8</v>
      </c>
      <c r="M2">
        <v>0</v>
      </c>
    </row>
    <row r="3" spans="1:13" x14ac:dyDescent="0.25">
      <c r="A3">
        <v>2</v>
      </c>
      <c r="B3">
        <v>2</v>
      </c>
      <c r="C3" t="s">
        <v>239</v>
      </c>
      <c r="D3" t="s">
        <v>238</v>
      </c>
      <c r="E3">
        <v>2</v>
      </c>
      <c r="F3">
        <v>0.57799999999999996</v>
      </c>
      <c r="G3">
        <v>0.29659999999999997</v>
      </c>
      <c r="H3">
        <v>-2.3E-3</v>
      </c>
      <c r="I3">
        <v>-0.16639999999999999</v>
      </c>
      <c r="J3">
        <v>-0.215</v>
      </c>
      <c r="K3">
        <v>1.66E-2</v>
      </c>
      <c r="L3">
        <v>8</v>
      </c>
      <c r="M3">
        <v>0</v>
      </c>
    </row>
    <row r="4" spans="1:13" x14ac:dyDescent="0.25">
      <c r="A4">
        <v>3</v>
      </c>
      <c r="B4">
        <v>3</v>
      </c>
      <c r="C4" t="s">
        <v>9</v>
      </c>
      <c r="D4" t="s">
        <v>238</v>
      </c>
      <c r="E4">
        <v>3</v>
      </c>
      <c r="F4">
        <v>-0.11890000000000001</v>
      </c>
      <c r="G4">
        <v>-0.59599999999999997</v>
      </c>
      <c r="H4">
        <v>-7.5389999999999997</v>
      </c>
      <c r="I4">
        <v>-3.3851</v>
      </c>
      <c r="J4">
        <v>-2.6825999999999999</v>
      </c>
      <c r="K4">
        <v>8.3999999999999995E-3</v>
      </c>
      <c r="L4">
        <v>8</v>
      </c>
      <c r="M4">
        <v>0</v>
      </c>
    </row>
    <row r="5" spans="1:13" x14ac:dyDescent="0.25">
      <c r="A5">
        <v>4</v>
      </c>
      <c r="B5">
        <v>4</v>
      </c>
      <c r="C5" t="s">
        <v>10</v>
      </c>
      <c r="D5" t="s">
        <v>238</v>
      </c>
      <c r="E5">
        <v>4</v>
      </c>
      <c r="F5">
        <v>-0.64949999999999997</v>
      </c>
      <c r="G5">
        <v>-0.3679</v>
      </c>
      <c r="H5">
        <v>-15.6455</v>
      </c>
      <c r="I5">
        <v>-5.1978999999999997</v>
      </c>
      <c r="J5">
        <v>-6.4821</v>
      </c>
      <c r="K5">
        <v>-1.5E-3</v>
      </c>
      <c r="L5">
        <v>8</v>
      </c>
      <c r="M5">
        <v>0</v>
      </c>
    </row>
    <row r="6" spans="1:13" x14ac:dyDescent="0.25">
      <c r="A6">
        <v>15</v>
      </c>
      <c r="B6">
        <v>14</v>
      </c>
      <c r="C6" t="s">
        <v>22</v>
      </c>
      <c r="D6" t="s">
        <v>245</v>
      </c>
      <c r="E6">
        <v>2</v>
      </c>
      <c r="F6">
        <v>0.73319999999999996</v>
      </c>
      <c r="G6">
        <v>0.63170000000000004</v>
      </c>
      <c r="H6">
        <v>3.1133000000000002</v>
      </c>
      <c r="I6">
        <v>0.91900000000000004</v>
      </c>
      <c r="J6">
        <v>0.76939999999999997</v>
      </c>
      <c r="K6">
        <v>1.2E-2</v>
      </c>
      <c r="L6">
        <v>8</v>
      </c>
      <c r="M6">
        <v>0</v>
      </c>
    </row>
    <row r="7" spans="1:13" x14ac:dyDescent="0.25">
      <c r="A7">
        <v>19</v>
      </c>
      <c r="B7">
        <v>18</v>
      </c>
      <c r="C7" t="s">
        <v>26</v>
      </c>
      <c r="D7" t="s">
        <v>245</v>
      </c>
      <c r="E7">
        <v>2</v>
      </c>
      <c r="F7">
        <v>1.0507</v>
      </c>
      <c r="G7">
        <v>2.0185</v>
      </c>
      <c r="H7">
        <v>3.4095</v>
      </c>
      <c r="I7">
        <v>5.9009999999999998</v>
      </c>
      <c r="J7">
        <v>3.9266000000000001</v>
      </c>
      <c r="K7">
        <v>5.1999999999999998E-3</v>
      </c>
      <c r="L7">
        <v>8</v>
      </c>
      <c r="M7">
        <v>0</v>
      </c>
    </row>
    <row r="8" spans="1:13" x14ac:dyDescent="0.25">
      <c r="A8">
        <v>20</v>
      </c>
      <c r="B8">
        <v>19</v>
      </c>
      <c r="C8" t="s">
        <v>247</v>
      </c>
      <c r="D8" t="s">
        <v>245</v>
      </c>
      <c r="E8">
        <v>2</v>
      </c>
      <c r="F8">
        <v>1.2616000000000001</v>
      </c>
      <c r="G8">
        <v>1.1154999999999999</v>
      </c>
      <c r="H8">
        <v>3.0811000000000002</v>
      </c>
      <c r="I8">
        <v>-1.1846000000000001</v>
      </c>
      <c r="J8">
        <v>0.17130000000000001</v>
      </c>
      <c r="K8">
        <v>3.0200000000000001E-2</v>
      </c>
      <c r="L8">
        <v>8</v>
      </c>
      <c r="M8">
        <v>0</v>
      </c>
    </row>
    <row r="9" spans="1:13" x14ac:dyDescent="0.25">
      <c r="A9">
        <v>29</v>
      </c>
      <c r="B9">
        <v>26</v>
      </c>
      <c r="C9" t="s">
        <v>36</v>
      </c>
      <c r="D9" t="s">
        <v>238</v>
      </c>
      <c r="E9">
        <v>1</v>
      </c>
      <c r="F9">
        <v>2.2475999999999998</v>
      </c>
      <c r="G9">
        <v>3.2423999999999999</v>
      </c>
      <c r="H9">
        <v>8.0503</v>
      </c>
      <c r="I9">
        <v>5.2378999999999998</v>
      </c>
      <c r="J9">
        <v>11.8005</v>
      </c>
      <c r="K9">
        <v>4.1999999999999997E-3</v>
      </c>
      <c r="L9">
        <v>8</v>
      </c>
      <c r="M9">
        <v>0</v>
      </c>
    </row>
    <row r="10" spans="1:13" x14ac:dyDescent="0.25">
      <c r="A10">
        <v>49</v>
      </c>
      <c r="B10">
        <v>43</v>
      </c>
      <c r="C10" t="s">
        <v>257</v>
      </c>
      <c r="D10" t="s">
        <v>238</v>
      </c>
      <c r="E10">
        <v>1</v>
      </c>
      <c r="F10">
        <v>1.5840000000000001</v>
      </c>
      <c r="G10">
        <v>1.5577000000000001</v>
      </c>
      <c r="H10">
        <v>7.6317000000000004</v>
      </c>
      <c r="I10">
        <v>3.2153999999999998</v>
      </c>
      <c r="J10">
        <v>3.3464</v>
      </c>
      <c r="K10">
        <v>2.81E-2</v>
      </c>
      <c r="L10">
        <v>8</v>
      </c>
      <c r="M10">
        <v>0</v>
      </c>
    </row>
    <row r="11" spans="1:13" x14ac:dyDescent="0.25">
      <c r="A11">
        <v>50</v>
      </c>
      <c r="B11">
        <v>44</v>
      </c>
      <c r="C11" t="s">
        <v>258</v>
      </c>
      <c r="D11" t="s">
        <v>238</v>
      </c>
      <c r="E11">
        <v>2</v>
      </c>
      <c r="F11">
        <v>0.97499999999999998</v>
      </c>
      <c r="G11">
        <v>0.67410000000000003</v>
      </c>
      <c r="H11">
        <v>0.1706</v>
      </c>
      <c r="I11">
        <v>0.51370000000000005</v>
      </c>
      <c r="J11">
        <v>0.8246</v>
      </c>
      <c r="K11">
        <v>2.2800000000000001E-2</v>
      </c>
      <c r="L11">
        <v>8</v>
      </c>
      <c r="M11">
        <v>0</v>
      </c>
    </row>
    <row r="12" spans="1:13" x14ac:dyDescent="0.25">
      <c r="A12">
        <v>54</v>
      </c>
      <c r="B12">
        <v>47</v>
      </c>
      <c r="C12" t="s">
        <v>259</v>
      </c>
      <c r="D12" t="s">
        <v>238</v>
      </c>
      <c r="E12">
        <v>1</v>
      </c>
      <c r="F12">
        <v>2.2639999999999998</v>
      </c>
      <c r="G12">
        <v>3.3490000000000002</v>
      </c>
      <c r="H12">
        <v>8.1995000000000005</v>
      </c>
      <c r="I12">
        <v>5.2100999999999997</v>
      </c>
      <c r="J12">
        <v>6.7984</v>
      </c>
      <c r="K12">
        <v>2.6200000000000001E-2</v>
      </c>
      <c r="L12">
        <v>8</v>
      </c>
      <c r="M12">
        <v>0</v>
      </c>
    </row>
    <row r="13" spans="1:13" x14ac:dyDescent="0.25">
      <c r="A13">
        <v>55</v>
      </c>
      <c r="B13">
        <v>48</v>
      </c>
      <c r="C13" t="s">
        <v>260</v>
      </c>
      <c r="D13" t="s">
        <v>238</v>
      </c>
      <c r="E13">
        <v>2</v>
      </c>
      <c r="F13">
        <v>1.4372</v>
      </c>
      <c r="G13">
        <v>36.297400000000003</v>
      </c>
      <c r="H13">
        <v>-0.38119999999999998</v>
      </c>
      <c r="I13">
        <v>0.56159999999999999</v>
      </c>
      <c r="J13">
        <v>2.8953000000000002</v>
      </c>
      <c r="K13">
        <v>2.1399999999999999E-2</v>
      </c>
      <c r="L13">
        <v>8</v>
      </c>
      <c r="M13">
        <v>0</v>
      </c>
    </row>
    <row r="14" spans="1:13" x14ac:dyDescent="0.25">
      <c r="A14">
        <v>57</v>
      </c>
      <c r="B14">
        <v>49</v>
      </c>
      <c r="C14" t="s">
        <v>261</v>
      </c>
      <c r="D14" t="s">
        <v>238</v>
      </c>
      <c r="E14">
        <v>1</v>
      </c>
      <c r="F14">
        <v>1.986</v>
      </c>
      <c r="G14">
        <v>2.7393999999999998</v>
      </c>
      <c r="H14">
        <v>7.7306999999999997</v>
      </c>
      <c r="I14">
        <v>2.5065</v>
      </c>
      <c r="J14">
        <v>7.2550999999999997</v>
      </c>
      <c r="K14">
        <v>2.7900000000000001E-2</v>
      </c>
      <c r="L14">
        <v>8</v>
      </c>
      <c r="M14">
        <v>0</v>
      </c>
    </row>
    <row r="15" spans="1:13" x14ac:dyDescent="0.25">
      <c r="A15">
        <v>58</v>
      </c>
      <c r="B15">
        <v>50</v>
      </c>
      <c r="C15" t="s">
        <v>262</v>
      </c>
      <c r="D15" t="s">
        <v>238</v>
      </c>
      <c r="E15">
        <v>2</v>
      </c>
      <c r="F15">
        <v>1.2689999999999999</v>
      </c>
      <c r="G15">
        <v>2.0377999999999998</v>
      </c>
      <c r="H15">
        <v>2.23E-2</v>
      </c>
      <c r="I15">
        <v>-0.71589999999999998</v>
      </c>
      <c r="J15">
        <v>1.4182999999999999</v>
      </c>
      <c r="K15">
        <v>2.46E-2</v>
      </c>
      <c r="L15">
        <v>8</v>
      </c>
      <c r="M15">
        <v>0</v>
      </c>
    </row>
    <row r="16" spans="1:13" x14ac:dyDescent="0.25">
      <c r="A16">
        <v>59</v>
      </c>
      <c r="B16">
        <v>51</v>
      </c>
      <c r="C16" t="s">
        <v>66</v>
      </c>
      <c r="D16" t="s">
        <v>238</v>
      </c>
      <c r="E16">
        <v>3</v>
      </c>
      <c r="F16">
        <v>0.59399999999999997</v>
      </c>
      <c r="G16">
        <v>1.3226</v>
      </c>
      <c r="H16">
        <v>-7.5377000000000001</v>
      </c>
      <c r="I16">
        <v>-4.6694000000000004</v>
      </c>
      <c r="J16">
        <v>-2.2824</v>
      </c>
      <c r="K16">
        <v>1.8200000000000001E-2</v>
      </c>
      <c r="L16">
        <v>8</v>
      </c>
      <c r="M16">
        <v>0</v>
      </c>
    </row>
    <row r="17" spans="1:13" x14ac:dyDescent="0.25">
      <c r="A17">
        <v>60</v>
      </c>
      <c r="B17">
        <v>52</v>
      </c>
      <c r="C17" t="s">
        <v>263</v>
      </c>
      <c r="D17" t="s">
        <v>238</v>
      </c>
      <c r="E17">
        <v>2</v>
      </c>
      <c r="F17">
        <v>0.999</v>
      </c>
      <c r="G17">
        <v>0.84819999999999995</v>
      </c>
      <c r="H17">
        <v>0.34939999999999999</v>
      </c>
      <c r="I17">
        <v>-0.42499999999999999</v>
      </c>
      <c r="J17">
        <v>2.4584999999999999</v>
      </c>
      <c r="K17">
        <v>2.6499999999999999E-2</v>
      </c>
      <c r="L17">
        <v>8</v>
      </c>
      <c r="M17">
        <v>0</v>
      </c>
    </row>
    <row r="18" spans="1:13" x14ac:dyDescent="0.25">
      <c r="A18">
        <v>61</v>
      </c>
      <c r="B18">
        <v>53</v>
      </c>
      <c r="C18" t="s">
        <v>264</v>
      </c>
      <c r="D18" t="s">
        <v>238</v>
      </c>
      <c r="E18">
        <v>3</v>
      </c>
      <c r="F18">
        <v>0.33239999999999997</v>
      </c>
      <c r="G18">
        <v>-0.40839999999999999</v>
      </c>
      <c r="H18">
        <v>-6.7232000000000003</v>
      </c>
      <c r="I18">
        <v>-0.73540000000000005</v>
      </c>
      <c r="J18">
        <v>-7.3014000000000001</v>
      </c>
      <c r="K18">
        <v>1.9E-2</v>
      </c>
      <c r="L18">
        <v>8</v>
      </c>
      <c r="M18">
        <v>0</v>
      </c>
    </row>
    <row r="19" spans="1:13" x14ac:dyDescent="0.25">
      <c r="A19">
        <v>65</v>
      </c>
      <c r="B19">
        <v>56</v>
      </c>
      <c r="C19" t="s">
        <v>266</v>
      </c>
      <c r="D19" t="s">
        <v>238</v>
      </c>
      <c r="E19">
        <v>1</v>
      </c>
      <c r="F19">
        <v>1.9866999999999999</v>
      </c>
      <c r="G19">
        <v>3.8058000000000001</v>
      </c>
      <c r="H19">
        <v>9.0936000000000003</v>
      </c>
      <c r="I19">
        <v>6.3555000000000001</v>
      </c>
      <c r="J19">
        <v>9.0777999999999999</v>
      </c>
      <c r="K19">
        <v>9.5999999999999992E-3</v>
      </c>
      <c r="L19">
        <v>8</v>
      </c>
      <c r="M19">
        <v>0</v>
      </c>
    </row>
    <row r="20" spans="1:13" x14ac:dyDescent="0.25">
      <c r="A20">
        <v>134</v>
      </c>
      <c r="B20">
        <v>77</v>
      </c>
      <c r="C20" t="s">
        <v>278</v>
      </c>
      <c r="D20" t="s">
        <v>238</v>
      </c>
      <c r="E20">
        <v>1</v>
      </c>
      <c r="F20">
        <v>3.8180999999999998</v>
      </c>
      <c r="G20">
        <v>2.4297</v>
      </c>
      <c r="H20">
        <v>8.3026999999999997</v>
      </c>
      <c r="I20">
        <v>5.7112999999999996</v>
      </c>
      <c r="J20">
        <v>9.9562000000000008</v>
      </c>
      <c r="K20">
        <v>4.1700000000000001E-2</v>
      </c>
      <c r="L20">
        <v>8</v>
      </c>
      <c r="M20">
        <v>0</v>
      </c>
    </row>
    <row r="21" spans="1:13" x14ac:dyDescent="0.25">
      <c r="A21">
        <v>168</v>
      </c>
      <c r="B21">
        <v>95</v>
      </c>
      <c r="C21" t="s">
        <v>288</v>
      </c>
      <c r="D21" t="s">
        <v>246</v>
      </c>
      <c r="E21">
        <v>2</v>
      </c>
      <c r="F21">
        <v>0.7147</v>
      </c>
      <c r="G21">
        <v>0.53129999999999999</v>
      </c>
      <c r="H21">
        <v>2.6692999999999998</v>
      </c>
      <c r="I21">
        <v>0.51039999999999996</v>
      </c>
      <c r="J21">
        <v>0.6159</v>
      </c>
      <c r="K21">
        <v>1.6E-2</v>
      </c>
      <c r="L21">
        <v>8</v>
      </c>
      <c r="M21">
        <v>0</v>
      </c>
    </row>
    <row r="22" spans="1:13" x14ac:dyDescent="0.25">
      <c r="A22">
        <v>169</v>
      </c>
      <c r="B22">
        <v>96</v>
      </c>
      <c r="C22" t="s">
        <v>175</v>
      </c>
      <c r="D22" t="s">
        <v>246</v>
      </c>
      <c r="E22">
        <v>3</v>
      </c>
      <c r="F22">
        <v>0.41370000000000001</v>
      </c>
      <c r="G22">
        <v>-0.1298</v>
      </c>
      <c r="H22">
        <v>-3.6903000000000001</v>
      </c>
      <c r="I22">
        <v>-3.2065000000000001</v>
      </c>
      <c r="J22">
        <v>-0.5171</v>
      </c>
      <c r="K22">
        <v>5.8999999999999999E-3</v>
      </c>
      <c r="L22">
        <v>8</v>
      </c>
      <c r="M22">
        <v>0</v>
      </c>
    </row>
    <row r="23" spans="1:13" x14ac:dyDescent="0.25">
      <c r="A23">
        <v>175</v>
      </c>
      <c r="B23">
        <v>102</v>
      </c>
      <c r="C23" t="s">
        <v>181</v>
      </c>
      <c r="D23" t="s">
        <v>246</v>
      </c>
      <c r="E23">
        <v>2</v>
      </c>
      <c r="F23">
        <v>1.7013</v>
      </c>
      <c r="G23">
        <v>4.0385</v>
      </c>
      <c r="H23">
        <v>4.9383999999999997</v>
      </c>
      <c r="I23">
        <v>2.5434000000000001</v>
      </c>
      <c r="J23">
        <v>3.4089999999999998</v>
      </c>
      <c r="K23">
        <v>3.5000000000000001E-3</v>
      </c>
      <c r="L23">
        <v>8</v>
      </c>
      <c r="M23">
        <v>0</v>
      </c>
    </row>
    <row r="24" spans="1:13" x14ac:dyDescent="0.25">
      <c r="A24">
        <v>176</v>
      </c>
      <c r="B24">
        <v>103</v>
      </c>
      <c r="C24" t="s">
        <v>182</v>
      </c>
      <c r="D24" t="s">
        <v>246</v>
      </c>
      <c r="E24">
        <v>3</v>
      </c>
      <c r="F24">
        <v>1.1003000000000001</v>
      </c>
      <c r="G24">
        <v>0.56179999999999997</v>
      </c>
      <c r="H24">
        <v>-3.1833999999999998</v>
      </c>
      <c r="I24">
        <v>-0.62019999999999997</v>
      </c>
      <c r="J24">
        <v>-0.67600000000000005</v>
      </c>
      <c r="K24">
        <v>1.6999999999999999E-3</v>
      </c>
      <c r="L24">
        <v>8</v>
      </c>
      <c r="M24">
        <v>0</v>
      </c>
    </row>
    <row r="25" spans="1:13" x14ac:dyDescent="0.25">
      <c r="A25">
        <v>179</v>
      </c>
      <c r="B25">
        <v>105</v>
      </c>
      <c r="C25" t="s">
        <v>185</v>
      </c>
      <c r="D25" t="s">
        <v>246</v>
      </c>
      <c r="E25">
        <v>2</v>
      </c>
      <c r="F25">
        <v>0.88460000000000005</v>
      </c>
      <c r="G25">
        <v>1.3472</v>
      </c>
      <c r="H25">
        <v>4.1018999999999997</v>
      </c>
      <c r="I25">
        <v>3.1909999999999998</v>
      </c>
      <c r="J25">
        <v>2.802</v>
      </c>
      <c r="K25">
        <v>2E-3</v>
      </c>
      <c r="L25">
        <v>8</v>
      </c>
      <c r="M25">
        <v>0</v>
      </c>
    </row>
    <row r="26" spans="1:13" x14ac:dyDescent="0.25">
      <c r="A26">
        <v>180</v>
      </c>
      <c r="B26">
        <v>106</v>
      </c>
      <c r="C26" t="s">
        <v>186</v>
      </c>
      <c r="D26" t="s">
        <v>246</v>
      </c>
      <c r="E26">
        <v>2</v>
      </c>
      <c r="F26">
        <v>2.2023999999999999</v>
      </c>
      <c r="G26">
        <v>3.3614999999999999</v>
      </c>
      <c r="H26">
        <v>3.7195</v>
      </c>
      <c r="I26">
        <v>6.5430999999999999</v>
      </c>
      <c r="J26">
        <v>2.7658</v>
      </c>
      <c r="K26">
        <v>1.2E-2</v>
      </c>
      <c r="L26">
        <v>8</v>
      </c>
      <c r="M26">
        <v>0</v>
      </c>
    </row>
    <row r="27" spans="1:13" x14ac:dyDescent="0.25">
      <c r="A27">
        <v>184</v>
      </c>
      <c r="B27">
        <v>108</v>
      </c>
      <c r="C27" t="s">
        <v>190</v>
      </c>
      <c r="D27" t="s">
        <v>238</v>
      </c>
      <c r="E27">
        <v>2</v>
      </c>
      <c r="F27">
        <v>1.1378999999999999</v>
      </c>
      <c r="G27">
        <v>0.68359999999999999</v>
      </c>
      <c r="H27">
        <v>-0.70069999999999999</v>
      </c>
      <c r="I27">
        <v>-3.1505000000000001</v>
      </c>
      <c r="J27">
        <v>0.26540000000000002</v>
      </c>
      <c r="K27">
        <v>1.04E-2</v>
      </c>
      <c r="L27">
        <v>8</v>
      </c>
      <c r="M27">
        <v>0</v>
      </c>
    </row>
    <row r="28" spans="1:13" x14ac:dyDescent="0.25">
      <c r="A28" s="14">
        <v>21</v>
      </c>
      <c r="B28" s="14">
        <v>20</v>
      </c>
      <c r="C28" s="14" t="s">
        <v>248</v>
      </c>
      <c r="D28" s="14" t="s">
        <v>245</v>
      </c>
      <c r="E28" s="14">
        <v>3</v>
      </c>
      <c r="F28" s="14">
        <v>0.85299999999999998</v>
      </c>
      <c r="G28" s="14">
        <v>-0.19220000000000001</v>
      </c>
      <c r="H28" s="14">
        <v>-5.0406000000000004</v>
      </c>
      <c r="I28" s="14">
        <v>-4.1989999999999998</v>
      </c>
      <c r="J28" s="14">
        <v>-3.1804999999999999</v>
      </c>
      <c r="K28" s="14">
        <v>2.29E-2</v>
      </c>
      <c r="L28">
        <v>8</v>
      </c>
      <c r="M28">
        <v>0</v>
      </c>
    </row>
    <row r="29" spans="1:13" x14ac:dyDescent="0.25">
      <c r="A29" s="14">
        <v>30</v>
      </c>
      <c r="B29" s="14">
        <v>27</v>
      </c>
      <c r="C29" s="14" t="s">
        <v>37</v>
      </c>
      <c r="D29" s="14" t="s">
        <v>245</v>
      </c>
      <c r="E29" s="14">
        <v>2</v>
      </c>
      <c r="F29" s="14">
        <v>2.5461</v>
      </c>
      <c r="G29" s="14">
        <v>5.1623999999999999</v>
      </c>
      <c r="H29" s="14">
        <v>3.3399000000000001</v>
      </c>
      <c r="I29" s="14">
        <v>1.3244</v>
      </c>
      <c r="J29" s="14">
        <v>7.7634999999999996</v>
      </c>
      <c r="K29" s="14">
        <v>1.7000000000000001E-2</v>
      </c>
      <c r="L29">
        <v>8</v>
      </c>
      <c r="M29">
        <v>0</v>
      </c>
    </row>
    <row r="30" spans="1:13" x14ac:dyDescent="0.25">
      <c r="A30" s="14">
        <v>31</v>
      </c>
      <c r="B30" s="14">
        <v>28</v>
      </c>
      <c r="C30" s="14" t="s">
        <v>38</v>
      </c>
      <c r="D30" s="14" t="s">
        <v>238</v>
      </c>
      <c r="E30" s="14">
        <v>1</v>
      </c>
      <c r="F30" s="14">
        <v>3.9741</v>
      </c>
      <c r="G30" s="14">
        <v>6.6985999999999999</v>
      </c>
      <c r="H30" s="14">
        <v>8.4171999999999993</v>
      </c>
      <c r="I30" s="14">
        <v>3.14</v>
      </c>
      <c r="J30" s="14">
        <v>7.5917000000000003</v>
      </c>
      <c r="K30" s="14">
        <v>2.07E-2</v>
      </c>
      <c r="L30">
        <v>8</v>
      </c>
      <c r="M30">
        <v>0</v>
      </c>
    </row>
    <row r="31" spans="1:13" x14ac:dyDescent="0.25">
      <c r="A31" s="14">
        <v>32</v>
      </c>
      <c r="B31" s="14">
        <v>29</v>
      </c>
      <c r="C31" s="14" t="s">
        <v>39</v>
      </c>
      <c r="D31" s="14" t="s">
        <v>245</v>
      </c>
      <c r="E31" s="14">
        <v>2</v>
      </c>
      <c r="F31" s="14">
        <v>4.5934999999999997</v>
      </c>
      <c r="G31" s="14">
        <v>14.099399999999999</v>
      </c>
      <c r="H31" s="14">
        <v>3.0851999999999999</v>
      </c>
      <c r="I31" s="14">
        <v>0.98709999999999998</v>
      </c>
      <c r="J31" s="14">
        <v>4.5545999999999998</v>
      </c>
      <c r="K31" s="14">
        <v>4.7800000000000002E-2</v>
      </c>
      <c r="L31">
        <v>8</v>
      </c>
      <c r="M31">
        <v>0</v>
      </c>
    </row>
    <row r="32" spans="1:13" x14ac:dyDescent="0.25">
      <c r="A32" s="14">
        <v>62</v>
      </c>
      <c r="B32" s="14">
        <v>54</v>
      </c>
      <c r="C32" s="14" t="s">
        <v>265</v>
      </c>
      <c r="D32" s="14" t="s">
        <v>245</v>
      </c>
      <c r="E32" s="14">
        <v>2</v>
      </c>
      <c r="F32" s="14">
        <v>2.8635999999999999</v>
      </c>
      <c r="G32" s="14">
        <v>4.3384</v>
      </c>
      <c r="H32" s="14">
        <v>4.3726000000000003</v>
      </c>
      <c r="I32" s="14">
        <v>1.9766999999999999</v>
      </c>
      <c r="J32" s="14">
        <v>6.3616000000000001</v>
      </c>
      <c r="K32" s="14">
        <v>2.5999999999999999E-2</v>
      </c>
      <c r="L32">
        <v>8</v>
      </c>
      <c r="M32">
        <v>0</v>
      </c>
    </row>
    <row r="33" spans="1:13" x14ac:dyDescent="0.25">
      <c r="A33" s="14">
        <v>63</v>
      </c>
      <c r="B33" s="14">
        <v>55</v>
      </c>
      <c r="C33" s="14" t="s">
        <v>70</v>
      </c>
      <c r="D33" s="14" t="s">
        <v>245</v>
      </c>
      <c r="E33" s="14">
        <v>3</v>
      </c>
      <c r="F33" s="14">
        <v>1.8969</v>
      </c>
      <c r="G33" s="14">
        <v>2.0754999999999999</v>
      </c>
      <c r="H33" s="14">
        <v>-3.9622999999999999</v>
      </c>
      <c r="I33" s="14">
        <v>-2.6745000000000001</v>
      </c>
      <c r="J33" s="14">
        <v>3.2589999999999999</v>
      </c>
      <c r="K33" s="14">
        <v>1.18E-2</v>
      </c>
      <c r="L33">
        <v>8</v>
      </c>
      <c r="M33">
        <v>0</v>
      </c>
    </row>
    <row r="34" spans="1:13" x14ac:dyDescent="0.25">
      <c r="A34" s="14">
        <v>126</v>
      </c>
      <c r="B34" s="14">
        <v>74</v>
      </c>
      <c r="C34" s="14" t="s">
        <v>133</v>
      </c>
      <c r="D34" s="14" t="s">
        <v>245</v>
      </c>
      <c r="E34" s="14">
        <v>2</v>
      </c>
      <c r="F34" s="14">
        <v>2.2389999999999999</v>
      </c>
      <c r="G34" s="14">
        <v>2.6398000000000001</v>
      </c>
      <c r="H34" s="14">
        <v>4.0118</v>
      </c>
      <c r="I34" s="14">
        <v>1.7621</v>
      </c>
      <c r="J34" s="14">
        <v>1.6744000000000001</v>
      </c>
      <c r="K34" s="14">
        <v>0.03</v>
      </c>
      <c r="L34">
        <v>8</v>
      </c>
      <c r="M34">
        <v>0</v>
      </c>
    </row>
    <row r="35" spans="1:13" x14ac:dyDescent="0.25">
      <c r="A35" s="14">
        <v>128</v>
      </c>
      <c r="B35" s="14">
        <v>75</v>
      </c>
      <c r="C35" s="14" t="s">
        <v>135</v>
      </c>
      <c r="D35" s="14" t="s">
        <v>238</v>
      </c>
      <c r="E35" s="14">
        <v>1</v>
      </c>
      <c r="F35" s="14">
        <v>2.0280999999999998</v>
      </c>
      <c r="G35" s="14">
        <v>2.0415999999999999</v>
      </c>
      <c r="H35" s="14">
        <v>9.2790999999999997</v>
      </c>
      <c r="I35" s="14">
        <v>3.3944000000000001</v>
      </c>
      <c r="J35" s="14">
        <v>2.9788000000000001</v>
      </c>
      <c r="K35" s="14">
        <v>2.1299999999999999E-2</v>
      </c>
      <c r="L35">
        <v>8</v>
      </c>
      <c r="M35">
        <v>0</v>
      </c>
    </row>
    <row r="36" spans="1:13" x14ac:dyDescent="0.25">
      <c r="A36" s="14">
        <v>148</v>
      </c>
      <c r="B36" s="14">
        <v>88</v>
      </c>
      <c r="C36" s="14" t="s">
        <v>155</v>
      </c>
      <c r="D36" s="14" t="s">
        <v>246</v>
      </c>
      <c r="E36" s="14">
        <v>3</v>
      </c>
      <c r="F36" s="14">
        <v>4.7622</v>
      </c>
      <c r="G36" s="14">
        <v>5.3102999999999998</v>
      </c>
      <c r="H36" s="14">
        <v>1.7891999999999999</v>
      </c>
      <c r="I36" s="14">
        <v>7.4638999999999998</v>
      </c>
      <c r="J36" s="14">
        <v>3.7446999999999999</v>
      </c>
      <c r="K36" s="14">
        <v>1.43E-2</v>
      </c>
      <c r="L36">
        <v>8</v>
      </c>
      <c r="M36">
        <v>0</v>
      </c>
    </row>
    <row r="37" spans="1:13" x14ac:dyDescent="0.25">
      <c r="A37" s="14">
        <v>149</v>
      </c>
      <c r="B37" s="14">
        <v>89</v>
      </c>
      <c r="C37" s="14" t="s">
        <v>284</v>
      </c>
      <c r="D37" s="14" t="s">
        <v>246</v>
      </c>
      <c r="E37" s="14">
        <v>2</v>
      </c>
      <c r="F37" s="14">
        <v>5.0639000000000003</v>
      </c>
      <c r="G37" s="14">
        <v>6.4215</v>
      </c>
      <c r="H37" s="14">
        <v>1.6659999999999999</v>
      </c>
      <c r="I37" s="14">
        <v>8.4335000000000004</v>
      </c>
      <c r="J37" s="14">
        <v>-0.33250000000000002</v>
      </c>
      <c r="K37" s="14">
        <v>2.3699999999999999E-2</v>
      </c>
      <c r="L37">
        <v>8</v>
      </c>
      <c r="M37">
        <v>0</v>
      </c>
    </row>
    <row r="38" spans="1:13" x14ac:dyDescent="0.25">
      <c r="A38" s="14">
        <v>170</v>
      </c>
      <c r="B38" s="14">
        <v>97</v>
      </c>
      <c r="C38" s="14" t="s">
        <v>176</v>
      </c>
      <c r="D38" s="14" t="s">
        <v>246</v>
      </c>
      <c r="E38" s="14">
        <v>4</v>
      </c>
      <c r="F38" s="14">
        <v>-0.38090000000000002</v>
      </c>
      <c r="G38" s="14">
        <v>0.13220000000000001</v>
      </c>
      <c r="H38" s="14">
        <v>-10.222899999999999</v>
      </c>
      <c r="I38" s="14">
        <v>-2.6202000000000001</v>
      </c>
      <c r="J38" s="14">
        <v>-2.6328999999999998</v>
      </c>
      <c r="K38" s="14">
        <v>0.13930000000000001</v>
      </c>
      <c r="L38">
        <v>8</v>
      </c>
      <c r="M38">
        <v>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BEE6-715A-428D-8A1B-6769D6DFB73A}">
  <dimension ref="A1:AH38"/>
  <sheetViews>
    <sheetView zoomScale="52" workbookViewId="0">
      <pane ySplit="1" topLeftCell="A2" activePane="bottomLeft" state="frozen"/>
      <selection pane="bottomLeft" activeCell="F46" sqref="F46"/>
    </sheetView>
  </sheetViews>
  <sheetFormatPr defaultRowHeight="15" x14ac:dyDescent="0.25"/>
  <cols>
    <col min="1" max="1" width="19.85546875" customWidth="1"/>
  </cols>
  <sheetData>
    <row r="1" spans="1:34" x14ac:dyDescent="0.25">
      <c r="A1" s="13" t="s">
        <v>291</v>
      </c>
      <c r="B1" s="13" t="s">
        <v>293</v>
      </c>
      <c r="C1" s="13" t="s">
        <v>294</v>
      </c>
      <c r="D1" s="13" t="s">
        <v>295</v>
      </c>
      <c r="E1" s="13" t="s">
        <v>296</v>
      </c>
      <c r="F1" s="13" t="s">
        <v>297</v>
      </c>
      <c r="G1" s="13" t="s">
        <v>298</v>
      </c>
      <c r="H1" s="13" t="s">
        <v>299</v>
      </c>
      <c r="I1" s="13" t="s">
        <v>300</v>
      </c>
      <c r="J1" s="13" t="s">
        <v>301</v>
      </c>
      <c r="K1" s="13" t="s">
        <v>302</v>
      </c>
      <c r="L1" s="13" t="s">
        <v>303</v>
      </c>
      <c r="M1" s="13" t="s">
        <v>304</v>
      </c>
      <c r="N1" s="13" t="s">
        <v>305</v>
      </c>
      <c r="O1" s="13" t="s">
        <v>306</v>
      </c>
      <c r="P1" s="13" t="s">
        <v>307</v>
      </c>
      <c r="Q1" s="13" t="s">
        <v>308</v>
      </c>
      <c r="R1" s="13" t="s">
        <v>309</v>
      </c>
      <c r="S1" s="13" t="s">
        <v>310</v>
      </c>
      <c r="T1" s="13" t="s">
        <v>311</v>
      </c>
      <c r="U1" s="13" t="s">
        <v>312</v>
      </c>
      <c r="V1" s="13" t="s">
        <v>313</v>
      </c>
      <c r="W1" s="13" t="s">
        <v>38</v>
      </c>
      <c r="X1" s="13" t="s">
        <v>314</v>
      </c>
      <c r="Y1" s="13" t="s">
        <v>315</v>
      </c>
      <c r="Z1" s="13" t="s">
        <v>316</v>
      </c>
      <c r="AA1" s="13" t="s">
        <v>189</v>
      </c>
      <c r="AB1" s="13" t="s">
        <v>317</v>
      </c>
      <c r="AC1" s="13" t="s">
        <v>318</v>
      </c>
      <c r="AD1" s="13" t="s">
        <v>319</v>
      </c>
      <c r="AE1" s="13" t="s">
        <v>320</v>
      </c>
      <c r="AF1" s="13" t="s">
        <v>321</v>
      </c>
      <c r="AG1" s="13" t="s">
        <v>322</v>
      </c>
      <c r="AH1" s="13" t="s">
        <v>323</v>
      </c>
    </row>
    <row r="2" spans="1:34" x14ac:dyDescent="0.25">
      <c r="A2" t="s">
        <v>237</v>
      </c>
      <c r="B2">
        <v>1</v>
      </c>
    </row>
    <row r="3" spans="1:34" x14ac:dyDescent="0.25">
      <c r="A3" t="s">
        <v>239</v>
      </c>
      <c r="C3">
        <v>1</v>
      </c>
    </row>
    <row r="4" spans="1:34" x14ac:dyDescent="0.25">
      <c r="A4" t="s">
        <v>9</v>
      </c>
      <c r="D4">
        <v>1</v>
      </c>
    </row>
    <row r="5" spans="1:34" x14ac:dyDescent="0.25">
      <c r="A5" t="s">
        <v>10</v>
      </c>
      <c r="E5">
        <v>1</v>
      </c>
    </row>
    <row r="6" spans="1:34" x14ac:dyDescent="0.25">
      <c r="A6" t="s">
        <v>22</v>
      </c>
      <c r="M6">
        <v>1</v>
      </c>
    </row>
    <row r="7" spans="1:34" x14ac:dyDescent="0.25">
      <c r="A7" t="s">
        <v>26</v>
      </c>
      <c r="AE7">
        <v>1</v>
      </c>
    </row>
    <row r="8" spans="1:34" x14ac:dyDescent="0.25">
      <c r="A8" t="s">
        <v>247</v>
      </c>
      <c r="B8">
        <v>1</v>
      </c>
      <c r="N8">
        <v>1</v>
      </c>
    </row>
    <row r="9" spans="1:34" x14ac:dyDescent="0.25">
      <c r="A9" t="s">
        <v>36</v>
      </c>
      <c r="P9">
        <v>1</v>
      </c>
    </row>
    <row r="10" spans="1:34" x14ac:dyDescent="0.25">
      <c r="A10" t="s">
        <v>257</v>
      </c>
      <c r="B10">
        <v>1</v>
      </c>
      <c r="R10">
        <v>1</v>
      </c>
    </row>
    <row r="11" spans="1:34" x14ac:dyDescent="0.25">
      <c r="A11" t="s">
        <v>258</v>
      </c>
      <c r="C11">
        <v>1</v>
      </c>
      <c r="R11">
        <v>1</v>
      </c>
    </row>
    <row r="12" spans="1:34" x14ac:dyDescent="0.25">
      <c r="A12" t="s">
        <v>259</v>
      </c>
      <c r="C12">
        <v>1</v>
      </c>
      <c r="Z12">
        <v>1</v>
      </c>
    </row>
    <row r="13" spans="1:34" x14ac:dyDescent="0.25">
      <c r="A13" t="s">
        <v>260</v>
      </c>
      <c r="D13">
        <v>1</v>
      </c>
      <c r="Z13">
        <v>1</v>
      </c>
    </row>
    <row r="14" spans="1:34" x14ac:dyDescent="0.25">
      <c r="A14" t="s">
        <v>261</v>
      </c>
      <c r="B14">
        <v>1</v>
      </c>
      <c r="AA14">
        <v>1</v>
      </c>
    </row>
    <row r="15" spans="1:34" x14ac:dyDescent="0.25">
      <c r="A15" t="s">
        <v>262</v>
      </c>
      <c r="C15">
        <v>1</v>
      </c>
      <c r="AA15">
        <v>1</v>
      </c>
    </row>
    <row r="16" spans="1:34" x14ac:dyDescent="0.25">
      <c r="A16" t="s">
        <v>66</v>
      </c>
      <c r="D16">
        <v>1</v>
      </c>
      <c r="AA16">
        <v>1</v>
      </c>
    </row>
    <row r="17" spans="1:31" x14ac:dyDescent="0.25">
      <c r="A17" t="s">
        <v>263</v>
      </c>
      <c r="B17">
        <v>1</v>
      </c>
      <c r="AC17">
        <v>1</v>
      </c>
    </row>
    <row r="18" spans="1:31" x14ac:dyDescent="0.25">
      <c r="A18" t="s">
        <v>264</v>
      </c>
      <c r="C18">
        <v>1</v>
      </c>
      <c r="AC18">
        <v>1</v>
      </c>
    </row>
    <row r="19" spans="1:31" x14ac:dyDescent="0.25">
      <c r="A19" t="s">
        <v>266</v>
      </c>
      <c r="Z19">
        <v>1</v>
      </c>
    </row>
    <row r="20" spans="1:31" x14ac:dyDescent="0.25">
      <c r="A20" t="s">
        <v>278</v>
      </c>
      <c r="C20">
        <v>2</v>
      </c>
      <c r="P20">
        <v>1</v>
      </c>
      <c r="R20">
        <v>1</v>
      </c>
    </row>
    <row r="21" spans="1:31" x14ac:dyDescent="0.25">
      <c r="A21" t="s">
        <v>288</v>
      </c>
      <c r="J21">
        <v>1</v>
      </c>
    </row>
    <row r="22" spans="1:31" x14ac:dyDescent="0.25">
      <c r="A22" t="s">
        <v>175</v>
      </c>
      <c r="K22">
        <v>1</v>
      </c>
    </row>
    <row r="23" spans="1:31" x14ac:dyDescent="0.25">
      <c r="A23" t="s">
        <v>181</v>
      </c>
      <c r="AB23">
        <v>1</v>
      </c>
    </row>
    <row r="24" spans="1:31" x14ac:dyDescent="0.25">
      <c r="A24" t="s">
        <v>182</v>
      </c>
      <c r="AE24">
        <v>1</v>
      </c>
    </row>
    <row r="25" spans="1:31" x14ac:dyDescent="0.25">
      <c r="A25" t="s">
        <v>185</v>
      </c>
      <c r="S25">
        <v>1</v>
      </c>
    </row>
    <row r="26" spans="1:31" x14ac:dyDescent="0.25">
      <c r="A26" t="s">
        <v>186</v>
      </c>
      <c r="U26">
        <v>1</v>
      </c>
    </row>
    <row r="27" spans="1:31" x14ac:dyDescent="0.25">
      <c r="A27" t="s">
        <v>190</v>
      </c>
      <c r="R27">
        <v>1</v>
      </c>
    </row>
    <row r="28" spans="1:31" x14ac:dyDescent="0.25">
      <c r="A28" s="14" t="s">
        <v>248</v>
      </c>
      <c r="C28">
        <v>1</v>
      </c>
      <c r="N28">
        <v>1</v>
      </c>
    </row>
    <row r="29" spans="1:31" x14ac:dyDescent="0.25">
      <c r="A29" s="14" t="s">
        <v>37</v>
      </c>
      <c r="N29">
        <v>1</v>
      </c>
      <c r="Q29">
        <v>1</v>
      </c>
    </row>
    <row r="30" spans="1:31" x14ac:dyDescent="0.25">
      <c r="A30" s="14" t="s">
        <v>38</v>
      </c>
      <c r="W30">
        <v>1</v>
      </c>
    </row>
    <row r="31" spans="1:31" x14ac:dyDescent="0.25">
      <c r="A31" s="14" t="s">
        <v>39</v>
      </c>
      <c r="N31">
        <v>1</v>
      </c>
      <c r="W31">
        <v>1</v>
      </c>
    </row>
    <row r="32" spans="1:31" x14ac:dyDescent="0.25">
      <c r="A32" s="14" t="s">
        <v>265</v>
      </c>
      <c r="N32">
        <v>1</v>
      </c>
      <c r="Z32">
        <v>1</v>
      </c>
    </row>
    <row r="33" spans="1:34" x14ac:dyDescent="0.25">
      <c r="A33" s="14" t="s">
        <v>70</v>
      </c>
      <c r="N33">
        <v>1</v>
      </c>
      <c r="AA33">
        <v>1</v>
      </c>
    </row>
    <row r="34" spans="1:34" x14ac:dyDescent="0.25">
      <c r="A34" s="14" t="s">
        <v>133</v>
      </c>
      <c r="N34">
        <v>1</v>
      </c>
      <c r="O34">
        <v>1</v>
      </c>
    </row>
    <row r="35" spans="1:34" x14ac:dyDescent="0.25">
      <c r="A35" s="14" t="s">
        <v>135</v>
      </c>
      <c r="O35">
        <v>1</v>
      </c>
    </row>
    <row r="36" spans="1:34" x14ac:dyDescent="0.25">
      <c r="A36" s="14" t="s">
        <v>155</v>
      </c>
      <c r="Y36">
        <v>1</v>
      </c>
      <c r="AH36">
        <v>1</v>
      </c>
    </row>
    <row r="37" spans="1:34" x14ac:dyDescent="0.25">
      <c r="A37" s="14" t="s">
        <v>284</v>
      </c>
      <c r="Y37">
        <v>2</v>
      </c>
      <c r="AH37">
        <v>1</v>
      </c>
    </row>
    <row r="38" spans="1:34" x14ac:dyDescent="0.25">
      <c r="A38" s="14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76F8-DF3E-4054-9E4F-287C2CE55955}">
  <dimension ref="A1:AG37"/>
  <sheetViews>
    <sheetView zoomScale="52" workbookViewId="0">
      <pane ySplit="1" topLeftCell="A2" activePane="bottomLeft" state="frozen"/>
      <selection pane="bottomLeft" activeCell="R42" sqref="R42"/>
    </sheetView>
  </sheetViews>
  <sheetFormatPr defaultRowHeight="15" x14ac:dyDescent="0.25"/>
  <cols>
    <col min="1" max="1" width="19.85546875" customWidth="1"/>
  </cols>
  <sheetData>
    <row r="1" spans="1:33" x14ac:dyDescent="0.25">
      <c r="A1" s="13" t="s">
        <v>291</v>
      </c>
      <c r="B1" s="13" t="s">
        <v>294</v>
      </c>
      <c r="C1" s="13" t="s">
        <v>295</v>
      </c>
      <c r="D1" s="13" t="s">
        <v>296</v>
      </c>
      <c r="E1" s="13" t="s">
        <v>297</v>
      </c>
      <c r="F1" s="13" t="s">
        <v>298</v>
      </c>
      <c r="G1" s="13" t="s">
        <v>299</v>
      </c>
      <c r="H1" s="13" t="s">
        <v>300</v>
      </c>
      <c r="I1" s="13" t="s">
        <v>301</v>
      </c>
      <c r="J1" s="13" t="s">
        <v>302</v>
      </c>
      <c r="K1" s="13" t="s">
        <v>303</v>
      </c>
      <c r="L1" s="13" t="s">
        <v>304</v>
      </c>
      <c r="M1" s="13" t="s">
        <v>305</v>
      </c>
      <c r="N1" s="13" t="s">
        <v>306</v>
      </c>
      <c r="O1" s="13" t="s">
        <v>307</v>
      </c>
      <c r="P1" s="13" t="s">
        <v>308</v>
      </c>
      <c r="Q1" s="13" t="s">
        <v>309</v>
      </c>
      <c r="R1" s="13" t="s">
        <v>310</v>
      </c>
      <c r="S1" s="13" t="s">
        <v>311</v>
      </c>
      <c r="T1" s="13" t="s">
        <v>312</v>
      </c>
      <c r="U1" s="13" t="s">
        <v>313</v>
      </c>
      <c r="V1" s="13" t="s">
        <v>38</v>
      </c>
      <c r="W1" s="13" t="s">
        <v>314</v>
      </c>
      <c r="X1" s="13" t="s">
        <v>315</v>
      </c>
      <c r="Y1" s="13" t="s">
        <v>316</v>
      </c>
      <c r="Z1" s="13" t="s">
        <v>189</v>
      </c>
      <c r="AA1" s="13" t="s">
        <v>317</v>
      </c>
      <c r="AB1" s="13" t="s">
        <v>318</v>
      </c>
      <c r="AC1" s="13" t="s">
        <v>319</v>
      </c>
      <c r="AD1" s="13" t="s">
        <v>320</v>
      </c>
      <c r="AE1" s="13" t="s">
        <v>321</v>
      </c>
      <c r="AF1" s="13" t="s">
        <v>322</v>
      </c>
      <c r="AG1" s="13" t="s">
        <v>323</v>
      </c>
    </row>
    <row r="2" spans="1:33" x14ac:dyDescent="0.25">
      <c r="A2" t="s">
        <v>239</v>
      </c>
      <c r="B2">
        <v>1</v>
      </c>
    </row>
    <row r="3" spans="1:33" x14ac:dyDescent="0.25">
      <c r="A3" t="s">
        <v>9</v>
      </c>
      <c r="C3">
        <v>1</v>
      </c>
    </row>
    <row r="4" spans="1:33" x14ac:dyDescent="0.25">
      <c r="A4" t="s">
        <v>10</v>
      </c>
      <c r="D4">
        <v>1</v>
      </c>
    </row>
    <row r="5" spans="1:33" x14ac:dyDescent="0.25">
      <c r="A5" t="s">
        <v>22</v>
      </c>
      <c r="L5">
        <v>1</v>
      </c>
    </row>
    <row r="6" spans="1:33" x14ac:dyDescent="0.25">
      <c r="A6" t="s">
        <v>26</v>
      </c>
      <c r="AD6">
        <v>1</v>
      </c>
    </row>
    <row r="7" spans="1:33" x14ac:dyDescent="0.25">
      <c r="A7" t="s">
        <v>247</v>
      </c>
      <c r="M7">
        <v>1</v>
      </c>
    </row>
    <row r="8" spans="1:33" x14ac:dyDescent="0.25">
      <c r="A8" t="s">
        <v>36</v>
      </c>
      <c r="O8">
        <v>1</v>
      </c>
    </row>
    <row r="9" spans="1:33" x14ac:dyDescent="0.25">
      <c r="A9" t="s">
        <v>257</v>
      </c>
      <c r="Q9">
        <v>1</v>
      </c>
    </row>
    <row r="10" spans="1:33" x14ac:dyDescent="0.25">
      <c r="A10" t="s">
        <v>258</v>
      </c>
      <c r="B10">
        <v>1</v>
      </c>
      <c r="Q10">
        <v>1</v>
      </c>
    </row>
    <row r="11" spans="1:33" x14ac:dyDescent="0.25">
      <c r="A11" t="s">
        <v>259</v>
      </c>
      <c r="B11">
        <v>1</v>
      </c>
      <c r="Y11">
        <v>1</v>
      </c>
    </row>
    <row r="12" spans="1:33" x14ac:dyDescent="0.25">
      <c r="A12" t="s">
        <v>260</v>
      </c>
      <c r="C12">
        <v>1</v>
      </c>
      <c r="Y12">
        <v>1</v>
      </c>
    </row>
    <row r="13" spans="1:33" x14ac:dyDescent="0.25">
      <c r="A13" t="s">
        <v>261</v>
      </c>
      <c r="Z13">
        <v>1</v>
      </c>
    </row>
    <row r="14" spans="1:33" x14ac:dyDescent="0.25">
      <c r="A14" t="s">
        <v>262</v>
      </c>
      <c r="B14">
        <v>1</v>
      </c>
      <c r="Z14">
        <v>1</v>
      </c>
    </row>
    <row r="15" spans="1:33" x14ac:dyDescent="0.25">
      <c r="A15" t="s">
        <v>66</v>
      </c>
      <c r="C15">
        <v>1</v>
      </c>
      <c r="Z15">
        <v>1</v>
      </c>
    </row>
    <row r="16" spans="1:33" x14ac:dyDescent="0.25">
      <c r="A16" t="s">
        <v>263</v>
      </c>
      <c r="AB16">
        <v>1</v>
      </c>
    </row>
    <row r="17" spans="1:30" x14ac:dyDescent="0.25">
      <c r="A17" t="s">
        <v>264</v>
      </c>
      <c r="B17">
        <v>1</v>
      </c>
      <c r="AB17">
        <v>1</v>
      </c>
    </row>
    <row r="18" spans="1:30" x14ac:dyDescent="0.25">
      <c r="A18" t="s">
        <v>266</v>
      </c>
      <c r="Y18">
        <v>1</v>
      </c>
    </row>
    <row r="19" spans="1:30" x14ac:dyDescent="0.25">
      <c r="A19" t="s">
        <v>278</v>
      </c>
      <c r="B19">
        <v>2</v>
      </c>
      <c r="O19">
        <v>1</v>
      </c>
      <c r="Q19">
        <v>1</v>
      </c>
    </row>
    <row r="20" spans="1:30" x14ac:dyDescent="0.25">
      <c r="A20" t="s">
        <v>288</v>
      </c>
      <c r="I20">
        <v>1</v>
      </c>
    </row>
    <row r="21" spans="1:30" x14ac:dyDescent="0.25">
      <c r="A21" t="s">
        <v>175</v>
      </c>
      <c r="J21">
        <v>1</v>
      </c>
    </row>
    <row r="22" spans="1:30" x14ac:dyDescent="0.25">
      <c r="A22" t="s">
        <v>181</v>
      </c>
      <c r="AA22">
        <v>1</v>
      </c>
    </row>
    <row r="23" spans="1:30" x14ac:dyDescent="0.25">
      <c r="A23" t="s">
        <v>182</v>
      </c>
      <c r="AD23">
        <v>1</v>
      </c>
    </row>
    <row r="24" spans="1:30" x14ac:dyDescent="0.25">
      <c r="A24" t="s">
        <v>185</v>
      </c>
      <c r="R24">
        <v>1</v>
      </c>
    </row>
    <row r="25" spans="1:30" x14ac:dyDescent="0.25">
      <c r="A25" t="s">
        <v>186</v>
      </c>
      <c r="T25">
        <v>1</v>
      </c>
    </row>
    <row r="26" spans="1:30" x14ac:dyDescent="0.25">
      <c r="A26" t="s">
        <v>190</v>
      </c>
      <c r="Q26">
        <v>1</v>
      </c>
    </row>
    <row r="27" spans="1:30" x14ac:dyDescent="0.25">
      <c r="A27" s="14" t="s">
        <v>248</v>
      </c>
      <c r="B27">
        <v>1</v>
      </c>
      <c r="M27">
        <v>1</v>
      </c>
    </row>
    <row r="28" spans="1:30" x14ac:dyDescent="0.25">
      <c r="A28" s="14" t="s">
        <v>37</v>
      </c>
      <c r="M28">
        <v>1</v>
      </c>
      <c r="P28">
        <v>1</v>
      </c>
    </row>
    <row r="29" spans="1:30" x14ac:dyDescent="0.25">
      <c r="A29" s="14" t="s">
        <v>38</v>
      </c>
      <c r="V29">
        <v>1</v>
      </c>
    </row>
    <row r="30" spans="1:30" x14ac:dyDescent="0.25">
      <c r="A30" s="14" t="s">
        <v>39</v>
      </c>
      <c r="M30">
        <v>1</v>
      </c>
      <c r="V30">
        <v>1</v>
      </c>
    </row>
    <row r="31" spans="1:30" x14ac:dyDescent="0.25">
      <c r="A31" s="14" t="s">
        <v>265</v>
      </c>
      <c r="M31">
        <v>1</v>
      </c>
      <c r="Y31">
        <v>1</v>
      </c>
    </row>
    <row r="32" spans="1:30" x14ac:dyDescent="0.25">
      <c r="A32" s="14" t="s">
        <v>70</v>
      </c>
      <c r="M32">
        <v>1</v>
      </c>
      <c r="Z32">
        <v>1</v>
      </c>
    </row>
    <row r="33" spans="1:33" x14ac:dyDescent="0.25">
      <c r="A33" s="14" t="s">
        <v>133</v>
      </c>
      <c r="M33">
        <v>1</v>
      </c>
      <c r="N33">
        <v>1</v>
      </c>
    </row>
    <row r="34" spans="1:33" x14ac:dyDescent="0.25">
      <c r="A34" s="14" t="s">
        <v>135</v>
      </c>
      <c r="N34">
        <v>1</v>
      </c>
    </row>
    <row r="35" spans="1:33" x14ac:dyDescent="0.25">
      <c r="A35" s="14" t="s">
        <v>155</v>
      </c>
      <c r="X35">
        <v>1</v>
      </c>
      <c r="AG35">
        <v>1</v>
      </c>
    </row>
    <row r="36" spans="1:33" x14ac:dyDescent="0.25">
      <c r="A36" s="14" t="s">
        <v>284</v>
      </c>
      <c r="X36">
        <v>2</v>
      </c>
      <c r="AG36">
        <v>1</v>
      </c>
    </row>
    <row r="37" spans="1:33" x14ac:dyDescent="0.25">
      <c r="A37" s="14" t="s">
        <v>176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0263-39C9-4952-A2A7-C5761E90B351}">
  <dimension ref="A1:D38"/>
  <sheetViews>
    <sheetView workbookViewId="0">
      <selection activeCell="H12" sqref="H12"/>
    </sheetView>
  </sheetViews>
  <sheetFormatPr defaultRowHeight="15" x14ac:dyDescent="0.25"/>
  <sheetData>
    <row r="1" spans="1:4" x14ac:dyDescent="0.25">
      <c r="A1" s="19" t="s">
        <v>292</v>
      </c>
      <c r="B1" s="20"/>
      <c r="C1" s="20"/>
      <c r="D1" s="20"/>
    </row>
    <row r="2" spans="1:4" x14ac:dyDescent="0.25">
      <c r="A2" t="s">
        <v>293</v>
      </c>
    </row>
    <row r="3" spans="1:4" x14ac:dyDescent="0.25">
      <c r="A3" t="s">
        <v>294</v>
      </c>
    </row>
    <row r="4" spans="1:4" x14ac:dyDescent="0.25">
      <c r="A4" t="s">
        <v>295</v>
      </c>
    </row>
    <row r="5" spans="1:4" x14ac:dyDescent="0.25">
      <c r="A5" t="s">
        <v>296</v>
      </c>
    </row>
    <row r="6" spans="1:4" x14ac:dyDescent="0.25">
      <c r="A6" t="s">
        <v>304</v>
      </c>
    </row>
    <row r="7" spans="1:4" x14ac:dyDescent="0.25">
      <c r="A7" t="s">
        <v>320</v>
      </c>
    </row>
    <row r="8" spans="1:4" x14ac:dyDescent="0.25">
      <c r="A8" t="s">
        <v>305</v>
      </c>
      <c r="B8" t="s">
        <v>293</v>
      </c>
    </row>
    <row r="9" spans="1:4" x14ac:dyDescent="0.25">
      <c r="A9" t="s">
        <v>307</v>
      </c>
    </row>
    <row r="10" spans="1:4" x14ac:dyDescent="0.25">
      <c r="A10" t="s">
        <v>293</v>
      </c>
      <c r="B10" t="s">
        <v>309</v>
      </c>
    </row>
    <row r="11" spans="1:4" x14ac:dyDescent="0.25">
      <c r="A11" t="s">
        <v>294</v>
      </c>
      <c r="B11" t="s">
        <v>309</v>
      </c>
    </row>
    <row r="12" spans="1:4" x14ac:dyDescent="0.25">
      <c r="A12" t="s">
        <v>294</v>
      </c>
      <c r="B12" t="s">
        <v>316</v>
      </c>
    </row>
    <row r="13" spans="1:4" x14ac:dyDescent="0.25">
      <c r="A13" t="s">
        <v>295</v>
      </c>
      <c r="B13" t="s">
        <v>316</v>
      </c>
    </row>
    <row r="14" spans="1:4" x14ac:dyDescent="0.25">
      <c r="A14" t="s">
        <v>293</v>
      </c>
      <c r="B14" t="s">
        <v>189</v>
      </c>
    </row>
    <row r="15" spans="1:4" x14ac:dyDescent="0.25">
      <c r="A15" t="s">
        <v>294</v>
      </c>
      <c r="B15" t="s">
        <v>189</v>
      </c>
    </row>
    <row r="16" spans="1:4" x14ac:dyDescent="0.25">
      <c r="A16" t="s">
        <v>295</v>
      </c>
      <c r="B16" t="s">
        <v>189</v>
      </c>
    </row>
    <row r="17" spans="1:4" x14ac:dyDescent="0.25">
      <c r="A17" t="s">
        <v>293</v>
      </c>
      <c r="B17" t="s">
        <v>318</v>
      </c>
    </row>
    <row r="18" spans="1:4" x14ac:dyDescent="0.25">
      <c r="A18" t="s">
        <v>294</v>
      </c>
      <c r="B18" t="s">
        <v>318</v>
      </c>
    </row>
    <row r="19" spans="1:4" x14ac:dyDescent="0.25">
      <c r="A19" t="s">
        <v>316</v>
      </c>
    </row>
    <row r="20" spans="1:4" x14ac:dyDescent="0.25">
      <c r="A20" t="s">
        <v>190</v>
      </c>
      <c r="B20" t="s">
        <v>294</v>
      </c>
      <c r="C20" t="s">
        <v>294</v>
      </c>
      <c r="D20" t="s">
        <v>307</v>
      </c>
    </row>
    <row r="21" spans="1:4" x14ac:dyDescent="0.25">
      <c r="A21" t="s">
        <v>301</v>
      </c>
    </row>
    <row r="22" spans="1:4" x14ac:dyDescent="0.25">
      <c r="A22" t="s">
        <v>302</v>
      </c>
    </row>
    <row r="23" spans="1:4" x14ac:dyDescent="0.25">
      <c r="A23" t="s">
        <v>317</v>
      </c>
    </row>
    <row r="24" spans="1:4" x14ac:dyDescent="0.25">
      <c r="A24" t="s">
        <v>320</v>
      </c>
    </row>
    <row r="25" spans="1:4" x14ac:dyDescent="0.25">
      <c r="A25" t="s">
        <v>310</v>
      </c>
    </row>
    <row r="26" spans="1:4" x14ac:dyDescent="0.25">
      <c r="A26" t="s">
        <v>312</v>
      </c>
    </row>
    <row r="27" spans="1:4" x14ac:dyDescent="0.25">
      <c r="A27" t="s">
        <v>190</v>
      </c>
    </row>
    <row r="28" spans="1:4" x14ac:dyDescent="0.25">
      <c r="A28" t="s">
        <v>305</v>
      </c>
      <c r="B28" t="s">
        <v>294</v>
      </c>
    </row>
    <row r="29" spans="1:4" x14ac:dyDescent="0.25">
      <c r="A29" t="s">
        <v>305</v>
      </c>
      <c r="B29" t="s">
        <v>308</v>
      </c>
    </row>
    <row r="30" spans="1:4" x14ac:dyDescent="0.25">
      <c r="A30" t="s">
        <v>38</v>
      </c>
    </row>
    <row r="31" spans="1:4" x14ac:dyDescent="0.25">
      <c r="A31" t="s">
        <v>305</v>
      </c>
      <c r="B31" t="s">
        <v>38</v>
      </c>
    </row>
    <row r="32" spans="1:4" x14ac:dyDescent="0.25">
      <c r="A32" t="s">
        <v>305</v>
      </c>
      <c r="B32" t="s">
        <v>316</v>
      </c>
    </row>
    <row r="33" spans="1:3" x14ac:dyDescent="0.25">
      <c r="A33" t="s">
        <v>305</v>
      </c>
      <c r="B33" t="s">
        <v>189</v>
      </c>
    </row>
    <row r="34" spans="1:3" x14ac:dyDescent="0.25">
      <c r="A34" t="s">
        <v>305</v>
      </c>
      <c r="B34" t="s">
        <v>306</v>
      </c>
    </row>
    <row r="35" spans="1:3" x14ac:dyDescent="0.25">
      <c r="A35" t="s">
        <v>306</v>
      </c>
    </row>
    <row r="36" spans="1:3" x14ac:dyDescent="0.25">
      <c r="A36" t="s">
        <v>323</v>
      </c>
      <c r="B36" t="s">
        <v>315</v>
      </c>
    </row>
    <row r="37" spans="1:3" x14ac:dyDescent="0.25">
      <c r="A37" t="s">
        <v>323</v>
      </c>
      <c r="B37" t="s">
        <v>315</v>
      </c>
      <c r="C37" t="s">
        <v>315</v>
      </c>
    </row>
    <row r="38" spans="1:3" x14ac:dyDescent="0.25">
      <c r="A38" t="s">
        <v>303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BF146-937E-4601-B58E-56AADBC56C60}">
  <dimension ref="A1:D38"/>
  <sheetViews>
    <sheetView workbookViewId="0">
      <selection activeCell="B1" sqref="B1:C1048576"/>
    </sheetView>
  </sheetViews>
  <sheetFormatPr defaultRowHeight="15" x14ac:dyDescent="0.25"/>
  <cols>
    <col min="1" max="1" width="19.85546875" customWidth="1"/>
  </cols>
  <sheetData>
    <row r="1" spans="1:4" x14ac:dyDescent="0.25">
      <c r="A1" s="13" t="s">
        <v>0</v>
      </c>
      <c r="B1" t="s">
        <v>335</v>
      </c>
      <c r="C1" t="s">
        <v>336</v>
      </c>
    </row>
    <row r="2" spans="1:4" x14ac:dyDescent="0.25">
      <c r="A2" t="s">
        <v>237</v>
      </c>
      <c r="B2">
        <v>8</v>
      </c>
      <c r="C2">
        <v>0</v>
      </c>
      <c r="D2">
        <v>5</v>
      </c>
    </row>
    <row r="3" spans="1:4" x14ac:dyDescent="0.25">
      <c r="A3" t="s">
        <v>239</v>
      </c>
      <c r="B3">
        <v>8</v>
      </c>
      <c r="C3">
        <v>0</v>
      </c>
      <c r="D3">
        <v>10</v>
      </c>
    </row>
    <row r="4" spans="1:4" x14ac:dyDescent="0.25">
      <c r="A4" t="s">
        <v>9</v>
      </c>
      <c r="B4">
        <v>8</v>
      </c>
      <c r="C4">
        <v>0</v>
      </c>
      <c r="D4">
        <v>10</v>
      </c>
    </row>
    <row r="5" spans="1:4" x14ac:dyDescent="0.25">
      <c r="A5" t="s">
        <v>10</v>
      </c>
      <c r="B5">
        <v>8</v>
      </c>
      <c r="C5">
        <v>0</v>
      </c>
      <c r="D5">
        <v>5</v>
      </c>
    </row>
    <row r="6" spans="1:4" x14ac:dyDescent="0.25">
      <c r="A6" t="s">
        <v>22</v>
      </c>
      <c r="B6">
        <v>8</v>
      </c>
      <c r="C6">
        <v>0</v>
      </c>
      <c r="D6">
        <v>6</v>
      </c>
    </row>
    <row r="7" spans="1:4" x14ac:dyDescent="0.25">
      <c r="A7" t="s">
        <v>26</v>
      </c>
      <c r="B7">
        <v>8</v>
      </c>
      <c r="C7">
        <v>0</v>
      </c>
      <c r="D7">
        <v>5</v>
      </c>
    </row>
    <row r="8" spans="1:4" x14ac:dyDescent="0.25">
      <c r="A8" t="s">
        <v>247</v>
      </c>
      <c r="B8">
        <v>8</v>
      </c>
      <c r="C8">
        <v>0</v>
      </c>
      <c r="D8">
        <v>5</v>
      </c>
    </row>
    <row r="9" spans="1:4" x14ac:dyDescent="0.25">
      <c r="A9" t="s">
        <v>36</v>
      </c>
      <c r="B9">
        <v>8</v>
      </c>
      <c r="C9">
        <v>0</v>
      </c>
      <c r="D9">
        <v>1</v>
      </c>
    </row>
    <row r="10" spans="1:4" x14ac:dyDescent="0.25">
      <c r="A10" t="s">
        <v>257</v>
      </c>
      <c r="B10">
        <v>8</v>
      </c>
      <c r="C10">
        <v>0</v>
      </c>
      <c r="D10">
        <v>5</v>
      </c>
    </row>
    <row r="11" spans="1:4" x14ac:dyDescent="0.25">
      <c r="A11" t="s">
        <v>258</v>
      </c>
      <c r="B11">
        <v>8</v>
      </c>
      <c r="C11">
        <v>0</v>
      </c>
      <c r="D11">
        <v>5</v>
      </c>
    </row>
    <row r="12" spans="1:4" x14ac:dyDescent="0.25">
      <c r="A12" t="s">
        <v>259</v>
      </c>
      <c r="B12">
        <v>8</v>
      </c>
      <c r="C12">
        <v>0</v>
      </c>
      <c r="D12">
        <v>5</v>
      </c>
    </row>
    <row r="13" spans="1:4" x14ac:dyDescent="0.25">
      <c r="A13" t="s">
        <v>260</v>
      </c>
      <c r="B13">
        <v>8</v>
      </c>
      <c r="C13">
        <v>0</v>
      </c>
      <c r="D13">
        <v>5</v>
      </c>
    </row>
    <row r="14" spans="1:4" x14ac:dyDescent="0.25">
      <c r="A14" t="s">
        <v>261</v>
      </c>
      <c r="B14">
        <v>8</v>
      </c>
      <c r="C14">
        <v>0</v>
      </c>
      <c r="D14">
        <v>5</v>
      </c>
    </row>
    <row r="15" spans="1:4" x14ac:dyDescent="0.25">
      <c r="A15" t="s">
        <v>262</v>
      </c>
      <c r="B15">
        <v>8</v>
      </c>
      <c r="C15">
        <v>0</v>
      </c>
      <c r="D15">
        <v>5</v>
      </c>
    </row>
    <row r="16" spans="1:4" x14ac:dyDescent="0.25">
      <c r="A16" t="s">
        <v>66</v>
      </c>
      <c r="B16">
        <v>8</v>
      </c>
      <c r="C16">
        <v>0</v>
      </c>
      <c r="D16">
        <v>5</v>
      </c>
    </row>
    <row r="17" spans="1:4" x14ac:dyDescent="0.25">
      <c r="A17" t="s">
        <v>263</v>
      </c>
      <c r="B17">
        <v>8</v>
      </c>
      <c r="C17">
        <v>0</v>
      </c>
      <c r="D17">
        <v>5</v>
      </c>
    </row>
    <row r="18" spans="1:4" x14ac:dyDescent="0.25">
      <c r="A18" t="s">
        <v>264</v>
      </c>
      <c r="B18">
        <v>8</v>
      </c>
      <c r="C18">
        <v>0</v>
      </c>
      <c r="D18">
        <v>5</v>
      </c>
    </row>
    <row r="19" spans="1:4" x14ac:dyDescent="0.25">
      <c r="A19" t="s">
        <v>266</v>
      </c>
      <c r="B19">
        <v>8</v>
      </c>
      <c r="C19">
        <v>0</v>
      </c>
      <c r="D19">
        <v>5</v>
      </c>
    </row>
    <row r="20" spans="1:4" x14ac:dyDescent="0.25">
      <c r="A20" t="s">
        <v>278</v>
      </c>
      <c r="B20">
        <v>8</v>
      </c>
      <c r="C20">
        <v>0</v>
      </c>
      <c r="D20">
        <v>5</v>
      </c>
    </row>
    <row r="21" spans="1:4" x14ac:dyDescent="0.25">
      <c r="A21" t="s">
        <v>288</v>
      </c>
      <c r="B21">
        <v>8</v>
      </c>
      <c r="C21">
        <v>0</v>
      </c>
      <c r="D21">
        <v>5</v>
      </c>
    </row>
    <row r="22" spans="1:4" x14ac:dyDescent="0.25">
      <c r="A22" t="s">
        <v>175</v>
      </c>
      <c r="B22">
        <v>8</v>
      </c>
      <c r="C22">
        <v>0</v>
      </c>
      <c r="D22">
        <v>5</v>
      </c>
    </row>
    <row r="23" spans="1:4" x14ac:dyDescent="0.25">
      <c r="A23" t="s">
        <v>181</v>
      </c>
      <c r="B23">
        <v>8</v>
      </c>
      <c r="C23">
        <v>0</v>
      </c>
      <c r="D23">
        <v>5</v>
      </c>
    </row>
    <row r="24" spans="1:4" x14ac:dyDescent="0.25">
      <c r="A24" t="s">
        <v>182</v>
      </c>
      <c r="B24">
        <v>8</v>
      </c>
      <c r="C24">
        <v>0</v>
      </c>
      <c r="D24">
        <v>5</v>
      </c>
    </row>
    <row r="25" spans="1:4" x14ac:dyDescent="0.25">
      <c r="A25" t="s">
        <v>185</v>
      </c>
      <c r="B25">
        <v>8</v>
      </c>
      <c r="C25">
        <v>0</v>
      </c>
      <c r="D25">
        <v>5</v>
      </c>
    </row>
    <row r="26" spans="1:4" x14ac:dyDescent="0.25">
      <c r="A26" t="s">
        <v>186</v>
      </c>
      <c r="B26">
        <v>8</v>
      </c>
      <c r="C26">
        <v>0</v>
      </c>
      <c r="D26">
        <v>5</v>
      </c>
    </row>
    <row r="27" spans="1:4" x14ac:dyDescent="0.25">
      <c r="A27" t="s">
        <v>190</v>
      </c>
      <c r="B27">
        <v>8</v>
      </c>
      <c r="C27">
        <v>0</v>
      </c>
      <c r="D27">
        <v>1</v>
      </c>
    </row>
    <row r="28" spans="1:4" x14ac:dyDescent="0.25">
      <c r="A28" s="14" t="s">
        <v>248</v>
      </c>
      <c r="B28">
        <v>8</v>
      </c>
      <c r="C28">
        <v>0</v>
      </c>
      <c r="D28">
        <v>5</v>
      </c>
    </row>
    <row r="29" spans="1:4" x14ac:dyDescent="0.25">
      <c r="A29" s="14" t="s">
        <v>37</v>
      </c>
      <c r="B29">
        <v>8</v>
      </c>
      <c r="C29">
        <v>0</v>
      </c>
      <c r="D29">
        <v>5</v>
      </c>
    </row>
    <row r="30" spans="1:4" x14ac:dyDescent="0.25">
      <c r="A30" s="14" t="s">
        <v>38</v>
      </c>
      <c r="B30">
        <v>8</v>
      </c>
      <c r="C30">
        <v>0</v>
      </c>
      <c r="D30">
        <v>5</v>
      </c>
    </row>
    <row r="31" spans="1:4" x14ac:dyDescent="0.25">
      <c r="A31" s="14" t="s">
        <v>39</v>
      </c>
      <c r="B31">
        <v>8</v>
      </c>
      <c r="C31">
        <v>0</v>
      </c>
      <c r="D31">
        <v>5</v>
      </c>
    </row>
    <row r="32" spans="1:4" x14ac:dyDescent="0.25">
      <c r="A32" s="14" t="s">
        <v>265</v>
      </c>
      <c r="B32">
        <v>8</v>
      </c>
      <c r="C32">
        <v>0</v>
      </c>
      <c r="D32">
        <v>5</v>
      </c>
    </row>
    <row r="33" spans="1:4" x14ac:dyDescent="0.25">
      <c r="A33" s="14" t="s">
        <v>70</v>
      </c>
      <c r="B33">
        <v>8</v>
      </c>
      <c r="C33">
        <v>0</v>
      </c>
      <c r="D33">
        <v>5</v>
      </c>
    </row>
    <row r="34" spans="1:4" x14ac:dyDescent="0.25">
      <c r="A34" s="14" t="s">
        <v>133</v>
      </c>
      <c r="B34">
        <v>8</v>
      </c>
      <c r="C34">
        <v>0</v>
      </c>
      <c r="D34">
        <v>5</v>
      </c>
    </row>
    <row r="35" spans="1:4" x14ac:dyDescent="0.25">
      <c r="A35" s="14" t="s">
        <v>135</v>
      </c>
      <c r="B35">
        <v>8</v>
      </c>
      <c r="C35">
        <v>0</v>
      </c>
      <c r="D35">
        <v>1</v>
      </c>
    </row>
    <row r="36" spans="1:4" x14ac:dyDescent="0.25">
      <c r="A36" s="14" t="s">
        <v>155</v>
      </c>
      <c r="B36">
        <v>8</v>
      </c>
      <c r="C36">
        <v>0</v>
      </c>
      <c r="D36">
        <v>5</v>
      </c>
    </row>
    <row r="37" spans="1:4" x14ac:dyDescent="0.25">
      <c r="A37" s="14" t="s">
        <v>284</v>
      </c>
      <c r="B37">
        <v>8</v>
      </c>
      <c r="C37">
        <v>0</v>
      </c>
      <c r="D37">
        <v>5</v>
      </c>
    </row>
    <row r="38" spans="1:4" x14ac:dyDescent="0.25">
      <c r="A38" s="14" t="s">
        <v>176</v>
      </c>
      <c r="B38">
        <v>8</v>
      </c>
      <c r="C38">
        <v>0</v>
      </c>
      <c r="D38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FF9F-8B9B-488C-B485-3ABBC4416DFF}">
  <dimension ref="A1:I34"/>
  <sheetViews>
    <sheetView zoomScale="130" zoomScaleNormal="130" workbookViewId="0">
      <selection activeCell="B18" sqref="B18:H18"/>
    </sheetView>
  </sheetViews>
  <sheetFormatPr defaultRowHeight="15" x14ac:dyDescent="0.25"/>
  <cols>
    <col min="2" max="3" width="9.140625" customWidth="1"/>
    <col min="4" max="4" width="9" customWidth="1"/>
    <col min="5" max="5" width="10.7109375" customWidth="1"/>
    <col min="7" max="7" width="12.28515625" customWidth="1"/>
    <col min="8" max="8" width="10.28515625" customWidth="1"/>
  </cols>
  <sheetData>
    <row r="1" spans="1:9" x14ac:dyDescent="0.25">
      <c r="A1" s="13" t="s">
        <v>0</v>
      </c>
      <c r="B1" s="13" t="s">
        <v>324</v>
      </c>
      <c r="C1" s="13" t="s">
        <v>325</v>
      </c>
      <c r="D1" s="13" t="s">
        <v>326</v>
      </c>
      <c r="E1" s="13" t="s">
        <v>327</v>
      </c>
      <c r="F1" s="13" t="s">
        <v>328</v>
      </c>
      <c r="G1" s="13" t="s">
        <v>329</v>
      </c>
      <c r="H1" s="13" t="s">
        <v>330</v>
      </c>
      <c r="I1" s="17" t="s">
        <v>337</v>
      </c>
    </row>
    <row r="2" spans="1:9" x14ac:dyDescent="0.25">
      <c r="A2" t="s">
        <v>293</v>
      </c>
      <c r="B2">
        <v>1.41E-2</v>
      </c>
      <c r="C2">
        <v>-1.1999999999999999E-3</v>
      </c>
      <c r="D2">
        <v>23.58</v>
      </c>
      <c r="E2">
        <f>19.5</f>
        <v>19.5</v>
      </c>
      <c r="F2">
        <f>-0.00808</f>
        <v>-8.0800000000000004E-3</v>
      </c>
      <c r="G2">
        <f>0.000153</f>
        <v>1.5300000000000001E-4</v>
      </c>
      <c r="H2" s="15">
        <f>0.0000000967</f>
        <v>9.6699999999999999E-8</v>
      </c>
      <c r="I2">
        <v>4</v>
      </c>
    </row>
    <row r="3" spans="1:9" x14ac:dyDescent="0.25">
      <c r="A3" t="s">
        <v>294</v>
      </c>
      <c r="B3">
        <v>1.89E-2</v>
      </c>
      <c r="C3">
        <v>0</v>
      </c>
      <c r="D3">
        <v>22.88</v>
      </c>
      <c r="E3">
        <f>-0.909</f>
        <v>-0.90900000000000003</v>
      </c>
      <c r="F3">
        <f>0.095</f>
        <v>9.5000000000000001E-2</v>
      </c>
      <c r="G3">
        <f>-0.0000544</f>
        <v>-5.4400000000000001E-5</v>
      </c>
      <c r="H3">
        <f>0.0000000119</f>
        <v>1.1900000000000001E-8</v>
      </c>
      <c r="I3">
        <v>3</v>
      </c>
    </row>
    <row r="4" spans="1:9" x14ac:dyDescent="0.25">
      <c r="A4" t="s">
        <v>295</v>
      </c>
      <c r="B4">
        <v>1.6400000000000001E-2</v>
      </c>
      <c r="C4">
        <v>2E-3</v>
      </c>
      <c r="D4">
        <v>21.74</v>
      </c>
      <c r="E4">
        <f>-23</f>
        <v>-23</v>
      </c>
      <c r="F4">
        <f>0.204</f>
        <v>0.20399999999999999</v>
      </c>
      <c r="G4">
        <f>-0.000265</f>
        <v>-2.6499999999999999E-4</v>
      </c>
      <c r="H4">
        <f>0.00000012</f>
        <v>1.1999999999999999E-7</v>
      </c>
      <c r="I4">
        <v>2</v>
      </c>
    </row>
    <row r="5" spans="1:9" x14ac:dyDescent="0.25">
      <c r="A5" t="s">
        <v>296</v>
      </c>
      <c r="B5">
        <v>6.7000000000000002E-3</v>
      </c>
      <c r="C5">
        <v>4.3E-3</v>
      </c>
      <c r="D5">
        <v>18.25</v>
      </c>
      <c r="E5">
        <f>-66.2</f>
        <v>-66.2</v>
      </c>
      <c r="F5">
        <f>0.427</f>
        <v>0.42699999999999999</v>
      </c>
      <c r="G5">
        <f>-0.000641</f>
        <v>-6.4099999999999997E-4</v>
      </c>
      <c r="H5">
        <f>0.000000301</f>
        <v>3.0100000000000001E-7</v>
      </c>
      <c r="I5">
        <v>1</v>
      </c>
    </row>
    <row r="6" spans="1:9" x14ac:dyDescent="0.25">
      <c r="A6" t="s">
        <v>297</v>
      </c>
      <c r="B6">
        <v>1.1299999999999999E-2</v>
      </c>
      <c r="C6">
        <v>-2.8E-3</v>
      </c>
      <c r="D6">
        <v>18.18</v>
      </c>
      <c r="E6">
        <f>23.6</f>
        <v>23.6</v>
      </c>
      <c r="F6">
        <f>-0.0381</f>
        <v>-3.8100000000000002E-2</v>
      </c>
      <c r="G6">
        <f>0.000172</f>
        <v>1.7200000000000001E-4</v>
      </c>
      <c r="H6">
        <f>-0.000000103</f>
        <v>-1.03E-7</v>
      </c>
      <c r="I6">
        <v>3</v>
      </c>
    </row>
    <row r="7" spans="1:9" x14ac:dyDescent="0.25">
      <c r="A7" t="s">
        <v>298</v>
      </c>
      <c r="B7">
        <v>1.29E-2</v>
      </c>
      <c r="C7">
        <v>-5.9999999999999995E-4</v>
      </c>
      <c r="D7">
        <v>24.96</v>
      </c>
      <c r="E7">
        <v>-8</v>
      </c>
      <c r="F7">
        <f>0.105</f>
        <v>0.105</v>
      </c>
      <c r="G7">
        <f>-0.0000963</f>
        <v>-9.6299999999999996E-5</v>
      </c>
      <c r="H7">
        <f>0.0000000356</f>
        <v>3.5600000000000001E-8</v>
      </c>
      <c r="I7">
        <v>2</v>
      </c>
    </row>
    <row r="8" spans="1:9" x14ac:dyDescent="0.25">
      <c r="A8" t="s">
        <v>299</v>
      </c>
      <c r="B8">
        <v>1.17E-2</v>
      </c>
      <c r="C8">
        <v>1.1000000000000001E-3</v>
      </c>
      <c r="D8">
        <v>24.14</v>
      </c>
      <c r="E8">
        <f>-28.1</f>
        <v>-28.1</v>
      </c>
      <c r="F8">
        <f>0.208</f>
        <v>0.20799999999999999</v>
      </c>
      <c r="G8">
        <f>-0.000306</f>
        <v>-3.0600000000000001E-4</v>
      </c>
      <c r="H8">
        <f>0.000000146</f>
        <v>1.4600000000000001E-7</v>
      </c>
      <c r="I8">
        <v>1</v>
      </c>
    </row>
    <row r="9" spans="1:9" x14ac:dyDescent="0.25">
      <c r="A9" t="s">
        <v>300</v>
      </c>
      <c r="B9">
        <v>2.5999999999999999E-3</v>
      </c>
      <c r="C9">
        <v>2.8E-3</v>
      </c>
      <c r="D9">
        <v>26.15</v>
      </c>
      <c r="E9">
        <f>27.4</f>
        <v>27.4</v>
      </c>
      <c r="F9">
        <f>-0.0557</f>
        <v>-5.57E-2</v>
      </c>
      <c r="G9">
        <f>0.000101</f>
        <v>1.01E-4</v>
      </c>
      <c r="H9">
        <f>-0.0000000502</f>
        <v>-5.02E-8</v>
      </c>
      <c r="I9">
        <v>1</v>
      </c>
    </row>
    <row r="10" spans="1:9" x14ac:dyDescent="0.25">
      <c r="A10" t="s">
        <v>301</v>
      </c>
      <c r="B10">
        <v>0.01</v>
      </c>
      <c r="C10">
        <v>2.5000000000000001E-3</v>
      </c>
      <c r="D10">
        <v>27.15</v>
      </c>
      <c r="E10">
        <v>-6.03</v>
      </c>
      <c r="F10">
        <f>0.0854</f>
        <v>8.5400000000000004E-2</v>
      </c>
      <c r="G10">
        <f>-0.000008</f>
        <v>-7.9999999999999996E-6</v>
      </c>
      <c r="H10">
        <f>-0.000000018</f>
        <v>-1.7999999999999999E-8</v>
      </c>
      <c r="I10">
        <v>3</v>
      </c>
    </row>
    <row r="11" spans="1:9" x14ac:dyDescent="0.25">
      <c r="A11" t="s">
        <v>302</v>
      </c>
      <c r="B11">
        <v>1.2200000000000001E-2</v>
      </c>
      <c r="C11">
        <v>4.0000000000000002E-4</v>
      </c>
      <c r="D11">
        <v>21.78</v>
      </c>
      <c r="E11">
        <f>-20.5</f>
        <v>-20.5</v>
      </c>
      <c r="F11">
        <f>0.162</f>
        <v>0.16200000000000001</v>
      </c>
      <c r="G11">
        <f>-0.00016</f>
        <v>-1.6000000000000001E-4</v>
      </c>
      <c r="H11">
        <f>0.0000000624</f>
        <v>6.2400000000000003E-8</v>
      </c>
      <c r="I11">
        <v>2</v>
      </c>
    </row>
    <row r="12" spans="1:9" x14ac:dyDescent="0.25">
      <c r="A12" t="s">
        <v>303</v>
      </c>
      <c r="B12">
        <v>4.1999999999999997E-3</v>
      </c>
      <c r="C12">
        <v>6.1000000000000004E-3</v>
      </c>
      <c r="D12">
        <v>21.32</v>
      </c>
      <c r="E12">
        <f>-90.9</f>
        <v>-90.9</v>
      </c>
      <c r="F12">
        <f>0.557</f>
        <v>0.55700000000000005</v>
      </c>
      <c r="G12">
        <f>-0.0009</f>
        <v>-8.9999999999999998E-4</v>
      </c>
      <c r="H12">
        <f>0.000000469</f>
        <v>4.6899999999999998E-7</v>
      </c>
      <c r="I12">
        <v>1</v>
      </c>
    </row>
    <row r="13" spans="1:9" x14ac:dyDescent="0.25">
      <c r="A13" t="s">
        <v>304</v>
      </c>
      <c r="B13">
        <v>8.2000000000000007E-3</v>
      </c>
      <c r="C13">
        <v>1.1000000000000001E-3</v>
      </c>
      <c r="D13">
        <v>26.73</v>
      </c>
      <c r="E13">
        <f>-2.14</f>
        <v>-2.14</v>
      </c>
      <c r="F13">
        <f>0.0574</f>
        <v>5.74E-2</v>
      </c>
      <c r="G13">
        <f>-0.00000164</f>
        <v>-1.64E-6</v>
      </c>
      <c r="H13">
        <f>-0.0000000159</f>
        <v>-1.59E-8</v>
      </c>
      <c r="I13">
        <v>2</v>
      </c>
    </row>
    <row r="14" spans="1:9" x14ac:dyDescent="0.25">
      <c r="A14" t="s">
        <v>305</v>
      </c>
      <c r="B14">
        <v>1.43E-2</v>
      </c>
      <c r="C14">
        <v>8.0000000000000004E-4</v>
      </c>
      <c r="D14">
        <v>31.01</v>
      </c>
      <c r="E14">
        <f>-8.25</f>
        <v>-8.25</v>
      </c>
      <c r="F14">
        <f>0.101</f>
        <v>0.10100000000000001</v>
      </c>
      <c r="G14">
        <f>-0.000142</f>
        <v>-1.4200000000000001E-4</v>
      </c>
      <c r="H14">
        <f>0.0000000678</f>
        <v>6.7799999999999998E-8</v>
      </c>
      <c r="I14">
        <v>1</v>
      </c>
    </row>
    <row r="15" spans="1:9" x14ac:dyDescent="0.25">
      <c r="A15" t="s">
        <v>306</v>
      </c>
      <c r="B15">
        <v>1.3299999999999999E-2</v>
      </c>
      <c r="C15">
        <v>5.7000000000000002E-3</v>
      </c>
      <c r="D15">
        <v>66.86</v>
      </c>
      <c r="E15">
        <v>28.6</v>
      </c>
      <c r="F15">
        <f>-0.0649</f>
        <v>-6.4899999999999999E-2</v>
      </c>
      <c r="G15">
        <f>0.000136</f>
        <v>1.36E-4</v>
      </c>
      <c r="H15">
        <f>-0.0000000745</f>
        <v>-7.4499999999999999E-8</v>
      </c>
      <c r="I15">
        <v>1</v>
      </c>
    </row>
    <row r="16" spans="1:9" x14ac:dyDescent="0.25">
      <c r="A16" t="s">
        <v>307</v>
      </c>
      <c r="B16">
        <v>7.4099999999999999E-2</v>
      </c>
      <c r="C16">
        <v>1.12E-2</v>
      </c>
      <c r="D16">
        <v>92.88</v>
      </c>
      <c r="E16">
        <f>25.7</f>
        <v>25.7</v>
      </c>
      <c r="F16">
        <f>-0.0691</f>
        <v>-6.9099999999999995E-2</v>
      </c>
      <c r="G16">
        <f>0.000177</f>
        <v>1.7699999999999999E-4</v>
      </c>
      <c r="H16">
        <f>-0.0000000988</f>
        <v>-9.8799999999999998E-8</v>
      </c>
      <c r="I16">
        <v>2</v>
      </c>
    </row>
    <row r="17" spans="1:9" x14ac:dyDescent="0.25">
      <c r="A17" t="s">
        <v>308</v>
      </c>
      <c r="B17">
        <v>2.4E-2</v>
      </c>
      <c r="C17">
        <v>1.84E-2</v>
      </c>
      <c r="D17">
        <v>76.34</v>
      </c>
      <c r="E17">
        <f>-2.81</f>
        <v>-2.81</v>
      </c>
      <c r="F17">
        <f>0.111</f>
        <v>0.111</v>
      </c>
      <c r="G17">
        <f>-0.000116</f>
        <v>-1.16E-4</v>
      </c>
      <c r="H17">
        <f>0.0000000494</f>
        <v>4.9399999999999999E-8</v>
      </c>
      <c r="I17">
        <v>2</v>
      </c>
    </row>
    <row r="18" spans="1:9" x14ac:dyDescent="0.25">
      <c r="A18" t="s">
        <v>309</v>
      </c>
      <c r="B18">
        <v>1.6799999999999999E-2</v>
      </c>
      <c r="C18">
        <v>1.5E-3</v>
      </c>
      <c r="D18">
        <v>22.42</v>
      </c>
      <c r="E18">
        <f>25.5</f>
        <v>25.5</v>
      </c>
      <c r="F18">
        <f>-0.0632</f>
        <v>-6.3200000000000006E-2</v>
      </c>
      <c r="G18">
        <f>0.000111</f>
        <v>1.11E-4</v>
      </c>
      <c r="H18">
        <f>-0.0000000548</f>
        <v>-5.4800000000000001E-8</v>
      </c>
      <c r="I18">
        <v>1</v>
      </c>
    </row>
    <row r="19" spans="1:9" x14ac:dyDescent="0.25">
      <c r="A19" t="s">
        <v>310</v>
      </c>
      <c r="B19">
        <v>9.7999999999999997E-3</v>
      </c>
      <c r="C19">
        <v>4.7999999999999996E-3</v>
      </c>
      <c r="D19">
        <v>31.22</v>
      </c>
      <c r="E19">
        <f>12.2</f>
        <v>12.2</v>
      </c>
      <c r="F19">
        <f>-0.0126</f>
        <v>-1.26E-2</v>
      </c>
      <c r="G19">
        <f>0.0000603</f>
        <v>6.0300000000000002E-5</v>
      </c>
      <c r="H19">
        <f>-0.0000000386</f>
        <v>-3.8600000000000002E-8</v>
      </c>
      <c r="I19">
        <v>1</v>
      </c>
    </row>
    <row r="20" spans="1:9" x14ac:dyDescent="0.25">
      <c r="A20" t="s">
        <v>311</v>
      </c>
      <c r="B20">
        <v>3.7999999999999999E-2</v>
      </c>
      <c r="C20">
        <v>3.0999999999999999E-3</v>
      </c>
      <c r="D20">
        <v>76.75</v>
      </c>
      <c r="E20">
        <v>6.45</v>
      </c>
      <c r="F20" s="15">
        <f>0.067</f>
        <v>6.7000000000000004E-2</v>
      </c>
      <c r="G20">
        <f>-0.0000357</f>
        <v>-3.57E-5</v>
      </c>
      <c r="H20">
        <f>0.00000000286</f>
        <v>2.86E-9</v>
      </c>
      <c r="I20">
        <v>2</v>
      </c>
    </row>
    <row r="21" spans="1:9" x14ac:dyDescent="0.25">
      <c r="A21" t="s">
        <v>312</v>
      </c>
      <c r="B21">
        <v>2.8400000000000002E-2</v>
      </c>
      <c r="C21">
        <v>2.8E-3</v>
      </c>
      <c r="D21">
        <v>94.97</v>
      </c>
      <c r="E21">
        <f>30.4</f>
        <v>30.4</v>
      </c>
      <c r="F21">
        <f>-0.0829</f>
        <v>-8.2900000000000001E-2</v>
      </c>
      <c r="G21">
        <f>0.000236</f>
        <v>2.3599999999999999E-4</v>
      </c>
      <c r="H21">
        <f>-0.000000013</f>
        <v>-1.3000000000000001E-8</v>
      </c>
      <c r="I21">
        <v>2</v>
      </c>
    </row>
    <row r="22" spans="1:9" x14ac:dyDescent="0.25">
      <c r="A22" t="s">
        <v>313</v>
      </c>
      <c r="B22">
        <v>3.7900000000000003E-2</v>
      </c>
      <c r="C22">
        <v>3.0000000000000001E-3</v>
      </c>
      <c r="D22">
        <v>72.239999999999995</v>
      </c>
      <c r="E22">
        <f>30.9</f>
        <v>30.9</v>
      </c>
      <c r="F22">
        <f>-0.0336</f>
        <v>-3.3599999999999998E-2</v>
      </c>
      <c r="G22">
        <f>0.00016</f>
        <v>1.6000000000000001E-4</v>
      </c>
      <c r="H22">
        <f>-0.0000000988</f>
        <v>-9.8799999999999998E-8</v>
      </c>
      <c r="I22">
        <v>3</v>
      </c>
    </row>
    <row r="23" spans="1:9" x14ac:dyDescent="0.25">
      <c r="A23" t="s">
        <v>38</v>
      </c>
      <c r="B23">
        <v>7.9100000000000004E-2</v>
      </c>
      <c r="C23">
        <v>7.7000000000000002E-3</v>
      </c>
      <c r="D23">
        <v>169.09</v>
      </c>
      <c r="E23">
        <f>24.1</f>
        <v>24.1</v>
      </c>
      <c r="F23">
        <f>0.0427</f>
        <v>4.2700000000000002E-2</v>
      </c>
      <c r="G23">
        <f>0.0000804</f>
        <v>8.0400000000000003E-5</v>
      </c>
      <c r="H23">
        <f>-0.0000000687</f>
        <v>-6.87E-8</v>
      </c>
      <c r="I23">
        <v>4</v>
      </c>
    </row>
    <row r="24" spans="1:9" x14ac:dyDescent="0.25">
      <c r="A24" t="s">
        <v>314</v>
      </c>
      <c r="B24">
        <v>4.8099999999999997E-2</v>
      </c>
      <c r="C24">
        <v>5.0000000000000001E-3</v>
      </c>
      <c r="D24">
        <v>81.099999999999994</v>
      </c>
      <c r="E24">
        <f>24.5</f>
        <v>24.5</v>
      </c>
      <c r="F24">
        <f>0.0402</f>
        <v>4.02E-2</v>
      </c>
      <c r="G24">
        <f>0.0000402</f>
        <v>4.0200000000000001E-5</v>
      </c>
      <c r="H24">
        <f>-0.0000000452</f>
        <v>-4.5200000000000001E-8</v>
      </c>
      <c r="I24">
        <v>3</v>
      </c>
    </row>
    <row r="25" spans="1:9" x14ac:dyDescent="0.25">
      <c r="A25" t="s">
        <v>315</v>
      </c>
      <c r="B25">
        <v>1.43E-2</v>
      </c>
      <c r="C25">
        <v>1.01E-2</v>
      </c>
      <c r="D25">
        <v>-10.5</v>
      </c>
      <c r="E25">
        <f>6.82</f>
        <v>6.82</v>
      </c>
      <c r="F25">
        <f>0.0196</f>
        <v>1.9599999999999999E-2</v>
      </c>
      <c r="G25">
        <f>0.0000127</f>
        <v>1.27E-5</v>
      </c>
      <c r="H25">
        <f>-0.0000000178</f>
        <v>-1.7800000000000001E-8</v>
      </c>
      <c r="I25">
        <v>1</v>
      </c>
    </row>
    <row r="26" spans="1:9" x14ac:dyDescent="0.25">
      <c r="A26" t="s">
        <v>316</v>
      </c>
      <c r="B26">
        <v>2.4299999999999999E-2</v>
      </c>
      <c r="C26">
        <v>1.09E-2</v>
      </c>
      <c r="D26">
        <v>73.23</v>
      </c>
      <c r="E26">
        <f>26.9</f>
        <v>26.9</v>
      </c>
      <c r="F26">
        <f>-0.0412</f>
        <v>-4.1200000000000001E-2</v>
      </c>
      <c r="G26">
        <f>0.000164</f>
        <v>1.64E-4</v>
      </c>
      <c r="H26">
        <f>-0.0000000976</f>
        <v>-9.76E-8</v>
      </c>
      <c r="I26">
        <v>3</v>
      </c>
    </row>
    <row r="27" spans="1:9" x14ac:dyDescent="0.25">
      <c r="A27" t="s">
        <v>189</v>
      </c>
      <c r="B27">
        <v>2.9499999999999998E-2</v>
      </c>
      <c r="C27">
        <v>7.7000000000000002E-3</v>
      </c>
      <c r="D27">
        <v>50.17</v>
      </c>
      <c r="E27">
        <v>-1.21</v>
      </c>
      <c r="F27">
        <f>0.0762</f>
        <v>7.6200000000000004E-2</v>
      </c>
      <c r="G27">
        <f>-0.0000486</f>
        <v>-4.8600000000000002E-5</v>
      </c>
      <c r="H27">
        <f>0.0000000105</f>
        <v>1.05E-8</v>
      </c>
      <c r="I27">
        <v>2</v>
      </c>
    </row>
    <row r="28" spans="1:9" x14ac:dyDescent="0.25">
      <c r="A28" t="s">
        <v>317</v>
      </c>
      <c r="B28">
        <v>1.2999999999999999E-2</v>
      </c>
      <c r="C28">
        <v>1.14E-2</v>
      </c>
      <c r="D28">
        <v>52.82</v>
      </c>
      <c r="E28">
        <f>11.8</f>
        <v>11.8</v>
      </c>
      <c r="F28">
        <f>-0.023</f>
        <v>-2.3E-2</v>
      </c>
      <c r="G28">
        <f>0.000107</f>
        <v>1.07E-4</v>
      </c>
      <c r="H28">
        <f>-0.0000000628</f>
        <v>-6.2800000000000006E-8</v>
      </c>
      <c r="I28">
        <v>2</v>
      </c>
    </row>
    <row r="29" spans="1:9" x14ac:dyDescent="0.25">
      <c r="A29" t="s">
        <v>318</v>
      </c>
      <c r="B29">
        <v>1.6899999999999998E-2</v>
      </c>
      <c r="C29">
        <v>7.4000000000000003E-3</v>
      </c>
      <c r="D29">
        <v>11.74</v>
      </c>
      <c r="E29">
        <f>-31.1</f>
        <v>-31.1</v>
      </c>
      <c r="F29">
        <f>0.227</f>
        <v>0.22700000000000001</v>
      </c>
      <c r="G29">
        <f>-0.00032</f>
        <v>-3.2000000000000003E-4</v>
      </c>
      <c r="H29">
        <f>0.000000146</f>
        <v>1.4600000000000001E-7</v>
      </c>
      <c r="I29">
        <v>1</v>
      </c>
    </row>
    <row r="30" spans="1:9" x14ac:dyDescent="0.25">
      <c r="A30" t="s">
        <v>319</v>
      </c>
      <c r="B30">
        <v>2.5499999999999998E-2</v>
      </c>
      <c r="C30">
        <v>-9.9000000000000008E-3</v>
      </c>
      <c r="D30">
        <v>74.599999999999994</v>
      </c>
      <c r="E30">
        <v>0</v>
      </c>
      <c r="F30">
        <v>0</v>
      </c>
      <c r="G30">
        <v>0</v>
      </c>
      <c r="H30">
        <v>0</v>
      </c>
      <c r="I30">
        <v>1</v>
      </c>
    </row>
    <row r="31" spans="1:9" x14ac:dyDescent="0.25">
      <c r="A31" t="s">
        <v>320</v>
      </c>
      <c r="B31">
        <v>8.5000000000000006E-3</v>
      </c>
      <c r="C31">
        <v>7.6E-3</v>
      </c>
      <c r="D31">
        <v>57.55</v>
      </c>
      <c r="E31">
        <f>8.83</f>
        <v>8.83</v>
      </c>
      <c r="F31">
        <f>-0.00384</f>
        <v>-3.8400000000000001E-3</v>
      </c>
      <c r="G31">
        <f>0.0000435</f>
        <v>4.35E-5</v>
      </c>
      <c r="H31">
        <f>-0.000000026</f>
        <v>-2.6000000000000001E-8</v>
      </c>
      <c r="I31">
        <v>1</v>
      </c>
    </row>
    <row r="32" spans="1:9" x14ac:dyDescent="0.25">
      <c r="A32" t="s">
        <v>321</v>
      </c>
      <c r="B32">
        <v>0</v>
      </c>
      <c r="C32">
        <v>0</v>
      </c>
      <c r="D32">
        <v>83.08</v>
      </c>
      <c r="E32">
        <f>5.69</f>
        <v>5.69</v>
      </c>
      <c r="F32">
        <f>-0.00412</f>
        <v>-4.1200000000000004E-3</v>
      </c>
      <c r="G32">
        <f>0.000128</f>
        <v>1.2799999999999999E-4</v>
      </c>
      <c r="H32">
        <f>-0.0000000888</f>
        <v>-8.8800000000000001E-8</v>
      </c>
      <c r="I32">
        <v>2</v>
      </c>
    </row>
    <row r="33" spans="1:9" x14ac:dyDescent="0.25">
      <c r="A33" t="s">
        <v>322</v>
      </c>
      <c r="B33">
        <v>4.3700000000000003E-2</v>
      </c>
      <c r="C33">
        <v>6.4000000000000003E-3</v>
      </c>
      <c r="D33">
        <v>152.54</v>
      </c>
      <c r="E33">
        <f>25.9</f>
        <v>25.9</v>
      </c>
      <c r="F33">
        <f>-0.00374</f>
        <v>-3.7399999999999998E-3</v>
      </c>
      <c r="G33">
        <f>0.000129</f>
        <v>1.2899999999999999E-4</v>
      </c>
      <c r="H33">
        <f>-0.0000000888</f>
        <v>-8.8800000000000001E-8</v>
      </c>
      <c r="I33">
        <v>3</v>
      </c>
    </row>
    <row r="34" spans="1:9" x14ac:dyDescent="0.25">
      <c r="A34" t="s">
        <v>323</v>
      </c>
      <c r="B34">
        <v>1.9E-3</v>
      </c>
      <c r="C34">
        <v>5.1000000000000004E-3</v>
      </c>
      <c r="D34">
        <v>52.1</v>
      </c>
      <c r="E34">
        <f>16.7</f>
        <v>16.7</v>
      </c>
      <c r="F34">
        <f>0.00481</f>
        <v>4.81E-3</v>
      </c>
      <c r="G34">
        <f>0.0000277</f>
        <v>2.7699999999999999E-5</v>
      </c>
      <c r="H34">
        <f>-0.0000000211</f>
        <v>-2.11E-8</v>
      </c>
      <c r="I3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6910-AAB0-40E6-8FD2-FDCE2FEF400D}">
  <dimension ref="A1:G7"/>
  <sheetViews>
    <sheetView workbookViewId="0">
      <selection activeCell="I7" sqref="I7"/>
    </sheetView>
  </sheetViews>
  <sheetFormatPr defaultRowHeight="15" x14ac:dyDescent="0.25"/>
  <cols>
    <col min="2" max="3" width="11" bestFit="1" customWidth="1"/>
    <col min="5" max="5" width="12" bestFit="1" customWidth="1"/>
    <col min="7" max="7" width="11" bestFit="1" customWidth="1"/>
  </cols>
  <sheetData>
    <row r="1" spans="1:7" x14ac:dyDescent="0.25">
      <c r="B1" s="13" t="s">
        <v>231</v>
      </c>
      <c r="C1" s="13" t="s">
        <v>232</v>
      </c>
      <c r="D1" s="13" t="s">
        <v>233</v>
      </c>
      <c r="E1" s="13" t="s">
        <v>234</v>
      </c>
      <c r="F1" s="13" t="s">
        <v>235</v>
      </c>
      <c r="G1" s="13" t="s">
        <v>236</v>
      </c>
    </row>
    <row r="2" spans="1:7" x14ac:dyDescent="0.25">
      <c r="A2" t="s">
        <v>237</v>
      </c>
      <c r="B2">
        <v>0.92179999999999995</v>
      </c>
      <c r="C2">
        <v>0.75549999999999995</v>
      </c>
      <c r="D2">
        <v>7.5983000000000001</v>
      </c>
      <c r="E2">
        <v>2.3037000000000001</v>
      </c>
      <c r="F2">
        <v>2.2105000000000001</v>
      </c>
      <c r="G2">
        <v>2.3800000000000002E-2</v>
      </c>
    </row>
    <row r="3" spans="1:7" x14ac:dyDescent="0.25">
      <c r="A3" t="s">
        <v>331</v>
      </c>
      <c r="B3">
        <v>1.1378999999999999</v>
      </c>
      <c r="C3">
        <v>0.68359999999999999</v>
      </c>
      <c r="D3">
        <v>-0.70069999999999999</v>
      </c>
      <c r="E3">
        <v>-3.1505000000000001</v>
      </c>
      <c r="F3">
        <v>0.26540000000000002</v>
      </c>
      <c r="G3">
        <v>1.04E-2</v>
      </c>
    </row>
    <row r="4" spans="1:7" x14ac:dyDescent="0.25">
      <c r="A4" t="s">
        <v>38</v>
      </c>
      <c r="B4" s="14">
        <v>3.9741</v>
      </c>
      <c r="C4" s="14">
        <v>6.6985999999999999</v>
      </c>
      <c r="D4" s="14">
        <v>8.4171999999999993</v>
      </c>
      <c r="E4" s="14">
        <v>3.14</v>
      </c>
      <c r="F4" s="14">
        <v>7.5917000000000003</v>
      </c>
      <c r="G4" s="14">
        <v>2.07E-2</v>
      </c>
    </row>
    <row r="5" spans="1:7" x14ac:dyDescent="0.25">
      <c r="A5" t="s">
        <v>332</v>
      </c>
      <c r="B5">
        <f>SUM(B2:B4)</f>
        <v>6.0337999999999994</v>
      </c>
      <c r="C5">
        <f t="shared" ref="C5:G5" si="0">SUM(C2:C4)</f>
        <v>8.1376999999999988</v>
      </c>
      <c r="D5">
        <f t="shared" si="0"/>
        <v>15.314799999999998</v>
      </c>
      <c r="E5">
        <f t="shared" si="0"/>
        <v>2.2932000000000001</v>
      </c>
      <c r="F5">
        <f t="shared" si="0"/>
        <v>10.067600000000001</v>
      </c>
      <c r="G5">
        <f t="shared" si="0"/>
        <v>5.4900000000000004E-2</v>
      </c>
    </row>
    <row r="6" spans="1:7" x14ac:dyDescent="0.25">
      <c r="A6" t="s">
        <v>333</v>
      </c>
      <c r="B6" s="16">
        <f>LN(B5)*244.7889</f>
        <v>439.97793741271983</v>
      </c>
      <c r="C6" s="16">
        <f>LN(C5)*144.0977</f>
        <v>302.10192100304607</v>
      </c>
      <c r="G6" s="16">
        <f>1/(G5+0.0123)</f>
        <v>14.88095238095238</v>
      </c>
    </row>
    <row r="7" spans="1:7" x14ac:dyDescent="0.25">
      <c r="D7" t="s">
        <v>334</v>
      </c>
      <c r="E7" s="16">
        <f>SQRT((4*(D5-15.7)^2+(E5-5.2)^2+(F5-5.8)^2))/3.3</f>
        <v>1.5820217029178882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Cleaned</vt:lpstr>
      <vt:lpstr>Groups</vt:lpstr>
      <vt:lpstr>SVSH</vt:lpstr>
      <vt:lpstr>SVSH-test</vt:lpstr>
      <vt:lpstr>Sheet2</vt:lpstr>
      <vt:lpstr>maxgroups</vt:lpstr>
      <vt:lpstr>CpGC</vt:lpstr>
      <vt:lpstr>Chec 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Thill, Alexia</dc:creator>
  <cp:keywords/>
  <dc:description/>
  <cp:lastModifiedBy>Mitra, Julia</cp:lastModifiedBy>
  <cp:revision/>
  <dcterms:created xsi:type="dcterms:W3CDTF">2025-11-26T12:51:35Z</dcterms:created>
  <dcterms:modified xsi:type="dcterms:W3CDTF">2025-12-18T00:06:04Z</dcterms:modified>
  <cp:category/>
  <cp:contentStatus/>
</cp:coreProperties>
</file>